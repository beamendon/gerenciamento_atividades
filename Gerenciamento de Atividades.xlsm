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4.xml" ContentType="application/vnd.openxmlformats-officedocument.spreadsheetml.table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drawings/drawing12.xml" ContentType="application/vnd.openxmlformats-officedocument.drawing+xml"/>
  <Override PartName="/xl/tables/table6.xml" ContentType="application/vnd.openxmlformats-officedocument.spreadsheetml.table+xml"/>
  <Override PartName="/xl/drawings/drawing13.xml" ContentType="application/vnd.openxmlformats-officedocument.drawing+xml"/>
  <Override PartName="/xl/tables/table7.xml" ContentType="application/vnd.openxmlformats-officedocument.spreadsheetml.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tables/table8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tables/table9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EQ\PET\Programas VBA\"/>
    </mc:Choice>
  </mc:AlternateContent>
  <xr:revisionPtr revIDLastSave="0" documentId="13_ncr:1_{01D6A08B-25F4-4D22-988D-747916E664C2}" xr6:coauthVersionLast="45" xr6:coauthVersionMax="45" xr10:uidLastSave="{00000000-0000-0000-0000-000000000000}"/>
  <bookViews>
    <workbookView showSheetTabs="0" xWindow="-120" yWindow="-120" windowWidth="20730" windowHeight="11160" tabRatio="583" activeTab="18" xr2:uid="{842E55D9-CA09-4D93-8FEA-75050CAC7240}"/>
  </bookViews>
  <sheets>
    <sheet name="Início" sheetId="22" r:id="rId1"/>
    <sheet name="Cadastro" sheetId="1" r:id="rId2"/>
    <sheet name="Membros" sheetId="2" r:id="rId3"/>
    <sheet name="Comissões" sheetId="5" r:id="rId4"/>
    <sheet name="Atividade" sheetId="4" r:id="rId5"/>
    <sheet name="Id. Organizacional" sheetId="32" r:id="rId6"/>
    <sheet name="Análise de SWOT" sheetId="25" r:id="rId7"/>
    <sheet name="Descrição" sheetId="24" r:id="rId8"/>
    <sheet name="calc" sheetId="23" r:id="rId9"/>
    <sheet name="Obj e Metas" sheetId="34" r:id="rId10"/>
    <sheet name="Objetivos" sheetId="33" r:id="rId11"/>
    <sheet name="Metas" sheetId="30" r:id="rId12"/>
    <sheet name="Controle" sheetId="31" r:id="rId13"/>
    <sheet name="5W2H" sheetId="6" r:id="rId14"/>
    <sheet name="Relatório" sheetId="10" r:id="rId15"/>
    <sheet name="Acompanhamento" sheetId="7" r:id="rId16"/>
    <sheet name="Ação Plan x Realiz" sheetId="8" r:id="rId17"/>
    <sheet name="Ação x PETiano" sheetId="14" r:id="rId18"/>
    <sheet name="Dashboard" sheetId="21" r:id="rId19"/>
    <sheet name="Calculos" sheetId="18" r:id="rId20"/>
    <sheet name="Indicadores" sheetId="19" r:id="rId21"/>
    <sheet name="IAA" sheetId="26" r:id="rId22"/>
    <sheet name="IAA Infos" sheetId="27" r:id="rId23"/>
    <sheet name="Turnover" sheetId="28" r:id="rId24"/>
  </sheets>
  <definedNames>
    <definedName name="Atv">OFFSET(Atividade!$B$9,0,0,COUNTA(Atividade!$B:$B),1)</definedName>
    <definedName name="Comissoes">OFFSET(Comissões!$B$9,0,0,COUNTA(Comissões!$B:$B),1)</definedName>
    <definedName name="data">OFFSET('5W2H'!#REF!,,,(COUNTA('5W2H'!#REF!)),)</definedName>
    <definedName name="estimativa">OFFSET('5W2H'!$Q$9,,,(COUNTA('5W2H'!$Q:$Q)),)</definedName>
    <definedName name="Membr">OFFSET(Membros!$B$9,0,0,COUNTA(Membros!$B:$B),1)</definedName>
    <definedName name="metas">OFFSET(Metas!$D$9,0,0,COUNTA(Metas!$D:$D),1)</definedName>
    <definedName name="obj">OFFSET(Objetivos!$B$9,0,0,COUNTA(Atividade!$B:$B),1)</definedName>
    <definedName name="real">OFFSET('5W2H'!$R$9,,,(COUNTA('5W2H'!$R:$R)),)</definedName>
  </definedNames>
  <calcPr calcId="191029"/>
  <pivotCaches>
    <pivotCache cacheId="11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6" l="1"/>
  <c r="J15" i="26"/>
  <c r="B25" i="18"/>
  <c r="C25" i="18" s="1"/>
  <c r="N8" i="21" s="1"/>
  <c r="M10" i="30" l="1"/>
  <c r="C22" i="18" l="1"/>
  <c r="B22" i="18"/>
  <c r="C10" i="8"/>
  <c r="C11" i="8" s="1"/>
  <c r="J13" i="31"/>
  <c r="F18" i="18" s="1"/>
  <c r="B18" i="18"/>
  <c r="J13" i="6"/>
  <c r="K13" i="6"/>
  <c r="N13" i="6"/>
  <c r="S13" i="6"/>
  <c r="J14" i="6"/>
  <c r="K14" i="6"/>
  <c r="N14" i="6"/>
  <c r="S14" i="6"/>
  <c r="J15" i="6"/>
  <c r="K15" i="6"/>
  <c r="N15" i="6"/>
  <c r="S15" i="6"/>
  <c r="J16" i="6"/>
  <c r="K16" i="6"/>
  <c r="N16" i="6"/>
  <c r="S16" i="6"/>
  <c r="J17" i="6"/>
  <c r="K17" i="6"/>
  <c r="N17" i="6"/>
  <c r="S17" i="6"/>
  <c r="J18" i="6"/>
  <c r="K18" i="6"/>
  <c r="N18" i="6"/>
  <c r="S18" i="6"/>
  <c r="J19" i="6"/>
  <c r="K19" i="6"/>
  <c r="N19" i="6"/>
  <c r="S19" i="6"/>
  <c r="J20" i="6"/>
  <c r="K20" i="6"/>
  <c r="N20" i="6"/>
  <c r="S20" i="6"/>
  <c r="J21" i="6"/>
  <c r="K21" i="6"/>
  <c r="N21" i="6"/>
  <c r="S21" i="6"/>
  <c r="J22" i="6"/>
  <c r="K22" i="6"/>
  <c r="N22" i="6"/>
  <c r="S22" i="6"/>
  <c r="J23" i="6"/>
  <c r="K23" i="6"/>
  <c r="N23" i="6"/>
  <c r="S23" i="6"/>
  <c r="J24" i="6"/>
  <c r="K24" i="6"/>
  <c r="N24" i="6"/>
  <c r="S24" i="6"/>
  <c r="J25" i="6"/>
  <c r="K25" i="6"/>
  <c r="N25" i="6"/>
  <c r="S25" i="6"/>
  <c r="J26" i="6"/>
  <c r="K26" i="6"/>
  <c r="N26" i="6"/>
  <c r="S26" i="6"/>
  <c r="J27" i="6"/>
  <c r="K27" i="6"/>
  <c r="N27" i="6"/>
  <c r="S27" i="6"/>
  <c r="J28" i="6"/>
  <c r="K28" i="6"/>
  <c r="N28" i="6"/>
  <c r="S28" i="6"/>
  <c r="J29" i="6"/>
  <c r="K29" i="6"/>
  <c r="N29" i="6"/>
  <c r="S29" i="6"/>
  <c r="J30" i="6"/>
  <c r="K30" i="6"/>
  <c r="N30" i="6"/>
  <c r="S30" i="6"/>
  <c r="J12" i="31"/>
  <c r="J11" i="31"/>
  <c r="J12" i="6"/>
  <c r="K12" i="6"/>
  <c r="N12" i="6"/>
  <c r="S12" i="6"/>
  <c r="J11" i="6"/>
  <c r="K11" i="6"/>
  <c r="N11" i="6"/>
  <c r="S11" i="6"/>
  <c r="J10" i="6"/>
  <c r="K10" i="6"/>
  <c r="N10" i="6"/>
  <c r="S10" i="6"/>
  <c r="J10" i="31"/>
  <c r="E9" i="30"/>
  <c r="J9" i="31"/>
  <c r="M9" i="30"/>
  <c r="D18" i="18" l="1"/>
  <c r="E18" i="18"/>
  <c r="C18" i="18"/>
  <c r="D14" i="18" l="1"/>
  <c r="C14" i="18"/>
  <c r="B14" i="18"/>
  <c r="C12" i="28"/>
  <c r="C7" i="18"/>
  <c r="B7" i="18"/>
  <c r="C4" i="18"/>
  <c r="B4" i="18"/>
  <c r="B10" i="18"/>
  <c r="E10" i="18" s="1"/>
  <c r="J14" i="26"/>
  <c r="J12" i="26"/>
  <c r="J13" i="26"/>
  <c r="C10" i="18" l="1"/>
  <c r="D10" i="18"/>
  <c r="M29" i="25"/>
  <c r="M30" i="25"/>
  <c r="M31" i="25"/>
  <c r="M32" i="25"/>
  <c r="M33" i="25"/>
  <c r="M34" i="25"/>
  <c r="M35" i="25"/>
  <c r="M36" i="25"/>
  <c r="M37" i="25"/>
  <c r="M38" i="25"/>
  <c r="M39" i="25"/>
  <c r="M40" i="25"/>
  <c r="M41" i="25"/>
  <c r="M42" i="25"/>
  <c r="M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28" i="25"/>
  <c r="M12" i="25"/>
  <c r="M13" i="25"/>
  <c r="M14" i="25"/>
  <c r="M15" i="25"/>
  <c r="M16" i="25"/>
  <c r="M17" i="25"/>
  <c r="M18" i="25"/>
  <c r="M19" i="25"/>
  <c r="M20" i="25"/>
  <c r="M21" i="25"/>
  <c r="M22" i="25"/>
  <c r="M23" i="25"/>
  <c r="M24" i="25"/>
  <c r="M25" i="25"/>
  <c r="M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11" i="25"/>
  <c r="C3" i="23"/>
  <c r="D3" i="23"/>
  <c r="E3" i="23"/>
  <c r="F3" i="23"/>
  <c r="C4" i="23"/>
  <c r="D4" i="23"/>
  <c r="E4" i="23"/>
  <c r="F4" i="23"/>
  <c r="C5" i="23"/>
  <c r="D5" i="23"/>
  <c r="E5" i="23"/>
  <c r="F5" i="23"/>
  <c r="C6" i="23"/>
  <c r="D6" i="23"/>
  <c r="E6" i="23"/>
  <c r="F6" i="23"/>
  <c r="C7" i="23"/>
  <c r="D7" i="23"/>
  <c r="E7" i="23"/>
  <c r="F7" i="23"/>
  <c r="C8" i="23"/>
  <c r="D8" i="23"/>
  <c r="E8" i="23"/>
  <c r="F8" i="23"/>
  <c r="C9" i="23"/>
  <c r="D9" i="23"/>
  <c r="E9" i="23"/>
  <c r="F9" i="23"/>
  <c r="C10" i="23"/>
  <c r="D10" i="23"/>
  <c r="E10" i="23"/>
  <c r="F10" i="23"/>
  <c r="C11" i="23"/>
  <c r="D11" i="23"/>
  <c r="E11" i="23"/>
  <c r="F11" i="23"/>
  <c r="C12" i="23"/>
  <c r="D12" i="23"/>
  <c r="E12" i="23"/>
  <c r="F12" i="23"/>
  <c r="C13" i="23"/>
  <c r="D13" i="23"/>
  <c r="E13" i="23"/>
  <c r="F13" i="23"/>
  <c r="C14" i="23"/>
  <c r="D14" i="23"/>
  <c r="E14" i="23"/>
  <c r="F14" i="23"/>
  <c r="C15" i="23"/>
  <c r="D15" i="23"/>
  <c r="E15" i="23"/>
  <c r="F15" i="23"/>
  <c r="C16" i="23"/>
  <c r="D16" i="23"/>
  <c r="E16" i="23"/>
  <c r="F16" i="23"/>
  <c r="C17" i="23"/>
  <c r="D17" i="23"/>
  <c r="E17" i="23"/>
  <c r="F17" i="23"/>
  <c r="C18" i="23"/>
  <c r="D18" i="23"/>
  <c r="E18" i="23"/>
  <c r="F18" i="23"/>
  <c r="C19" i="23"/>
  <c r="D19" i="23"/>
  <c r="E19" i="23"/>
  <c r="F19" i="23"/>
  <c r="C20" i="23"/>
  <c r="D20" i="23"/>
  <c r="E20" i="23"/>
  <c r="F20" i="23"/>
  <c r="C21" i="23"/>
  <c r="D21" i="23"/>
  <c r="E21" i="23"/>
  <c r="F21" i="23"/>
  <c r="C22" i="23"/>
  <c r="D22" i="23"/>
  <c r="E22" i="23"/>
  <c r="F22" i="23"/>
  <c r="C23" i="23"/>
  <c r="D23" i="23"/>
  <c r="E23" i="23"/>
  <c r="F23" i="23"/>
  <c r="C24" i="23"/>
  <c r="D24" i="23"/>
  <c r="E24" i="23"/>
  <c r="F24" i="23"/>
  <c r="C25" i="23"/>
  <c r="D25" i="23"/>
  <c r="E25" i="23"/>
  <c r="F25" i="23"/>
  <c r="C26" i="23"/>
  <c r="D26" i="23"/>
  <c r="E26" i="23"/>
  <c r="F26" i="23"/>
  <c r="C27" i="23"/>
  <c r="D27" i="23"/>
  <c r="E27" i="23"/>
  <c r="F27" i="23"/>
  <c r="C28" i="23"/>
  <c r="D28" i="23"/>
  <c r="E28" i="23"/>
  <c r="F28" i="23"/>
  <c r="C29" i="23"/>
  <c r="D29" i="23"/>
  <c r="E29" i="23"/>
  <c r="F29" i="23"/>
  <c r="C30" i="23"/>
  <c r="D30" i="23"/>
  <c r="E30" i="23"/>
  <c r="F30" i="23"/>
  <c r="C31" i="23"/>
  <c r="D31" i="23"/>
  <c r="E31" i="23"/>
  <c r="F31" i="23"/>
  <c r="C32" i="23"/>
  <c r="D32" i="23"/>
  <c r="E32" i="23"/>
  <c r="F32" i="23"/>
  <c r="C33" i="23"/>
  <c r="D33" i="23"/>
  <c r="E33" i="23"/>
  <c r="F33" i="23"/>
  <c r="C34" i="23"/>
  <c r="D34" i="23"/>
  <c r="E34" i="23"/>
  <c r="F34" i="23"/>
  <c r="C35" i="23"/>
  <c r="D35" i="23"/>
  <c r="E35" i="23"/>
  <c r="F35" i="23"/>
  <c r="C36" i="23"/>
  <c r="D36" i="23"/>
  <c r="E36" i="23"/>
  <c r="F36" i="23"/>
  <c r="C37" i="23"/>
  <c r="D37" i="23"/>
  <c r="E37" i="23"/>
  <c r="F37" i="23"/>
  <c r="C38" i="23"/>
  <c r="D38" i="23"/>
  <c r="E38" i="23"/>
  <c r="F38" i="23"/>
  <c r="C39" i="23"/>
  <c r="D39" i="23"/>
  <c r="E39" i="23"/>
  <c r="F39" i="23"/>
  <c r="C40" i="23"/>
  <c r="D40" i="23"/>
  <c r="E40" i="23"/>
  <c r="F40" i="23"/>
  <c r="C41" i="23"/>
  <c r="D41" i="23"/>
  <c r="E41" i="23"/>
  <c r="F41" i="23"/>
  <c r="C42" i="23"/>
  <c r="D42" i="23"/>
  <c r="E42" i="23"/>
  <c r="F42" i="23"/>
  <c r="C43" i="23"/>
  <c r="D43" i="23"/>
  <c r="E43" i="23"/>
  <c r="F43" i="23"/>
  <c r="C44" i="23"/>
  <c r="D44" i="23"/>
  <c r="E44" i="23"/>
  <c r="F44" i="23"/>
  <c r="C45" i="23"/>
  <c r="D45" i="23"/>
  <c r="E45" i="23"/>
  <c r="F45" i="23"/>
  <c r="C46" i="23"/>
  <c r="D46" i="23"/>
  <c r="E46" i="23"/>
  <c r="F46" i="23"/>
  <c r="C47" i="23"/>
  <c r="D47" i="23"/>
  <c r="E47" i="23"/>
  <c r="F47" i="23"/>
  <c r="C48" i="23"/>
  <c r="D48" i="23"/>
  <c r="E48" i="23"/>
  <c r="F48" i="23"/>
  <c r="C49" i="23"/>
  <c r="D49" i="23"/>
  <c r="E49" i="23"/>
  <c r="F49" i="23"/>
  <c r="C50" i="23"/>
  <c r="D50" i="23"/>
  <c r="E50" i="23"/>
  <c r="F50" i="23"/>
  <c r="C51" i="23"/>
  <c r="D51" i="23"/>
  <c r="E51" i="23"/>
  <c r="F51" i="23"/>
  <c r="C52" i="23"/>
  <c r="D52" i="23"/>
  <c r="E52" i="23"/>
  <c r="F52" i="23"/>
  <c r="C53" i="23"/>
  <c r="D53" i="23"/>
  <c r="E53" i="23"/>
  <c r="F53" i="23"/>
  <c r="C54" i="23"/>
  <c r="D54" i="23"/>
  <c r="E54" i="23"/>
  <c r="F54" i="23"/>
  <c r="C55" i="23"/>
  <c r="D55" i="23"/>
  <c r="E55" i="23"/>
  <c r="F55" i="23"/>
  <c r="C56" i="23"/>
  <c r="D56" i="23"/>
  <c r="E56" i="23"/>
  <c r="F56" i="23"/>
  <c r="C57" i="23"/>
  <c r="D57" i="23"/>
  <c r="E57" i="23"/>
  <c r="F57" i="23"/>
  <c r="C58" i="23"/>
  <c r="D58" i="23"/>
  <c r="E58" i="23"/>
  <c r="F58" i="23"/>
  <c r="C59" i="23"/>
  <c r="D59" i="23"/>
  <c r="E59" i="23"/>
  <c r="F59" i="23"/>
  <c r="C60" i="23"/>
  <c r="D60" i="23"/>
  <c r="E60" i="23"/>
  <c r="F60" i="23"/>
  <c r="C61" i="23"/>
  <c r="D61" i="23"/>
  <c r="E61" i="23"/>
  <c r="F61" i="23"/>
  <c r="C62" i="23"/>
  <c r="D62" i="23"/>
  <c r="E62" i="23"/>
  <c r="F62" i="23"/>
  <c r="C63" i="23"/>
  <c r="D63" i="23"/>
  <c r="E63" i="23"/>
  <c r="F63" i="23"/>
  <c r="C64" i="23"/>
  <c r="D64" i="23"/>
  <c r="E64" i="23"/>
  <c r="F64" i="23"/>
  <c r="C65" i="23"/>
  <c r="D65" i="23"/>
  <c r="E65" i="23"/>
  <c r="F65" i="23"/>
  <c r="C66" i="23"/>
  <c r="D66" i="23"/>
  <c r="E66" i="23"/>
  <c r="F66" i="23"/>
  <c r="C67" i="23"/>
  <c r="D67" i="23"/>
  <c r="E67" i="23"/>
  <c r="F67" i="23"/>
  <c r="C68" i="23"/>
  <c r="D68" i="23"/>
  <c r="E68" i="23"/>
  <c r="F68" i="23"/>
  <c r="C69" i="23"/>
  <c r="D69" i="23"/>
  <c r="E69" i="23"/>
  <c r="F69" i="23"/>
  <c r="C70" i="23"/>
  <c r="D70" i="23"/>
  <c r="E70" i="23"/>
  <c r="F70" i="23"/>
  <c r="C71" i="23"/>
  <c r="D71" i="23"/>
  <c r="E71" i="23"/>
  <c r="F71" i="23"/>
  <c r="C72" i="23"/>
  <c r="D72" i="23"/>
  <c r="E72" i="23"/>
  <c r="F72" i="23"/>
  <c r="C73" i="23"/>
  <c r="D73" i="23"/>
  <c r="E73" i="23"/>
  <c r="F73" i="23"/>
  <c r="C74" i="23"/>
  <c r="D74" i="23"/>
  <c r="E74" i="23"/>
  <c r="F74" i="23"/>
  <c r="C75" i="23"/>
  <c r="D75" i="23"/>
  <c r="E75" i="23"/>
  <c r="F75" i="23"/>
  <c r="C76" i="23"/>
  <c r="D76" i="23"/>
  <c r="E76" i="23"/>
  <c r="F76" i="23"/>
  <c r="C77" i="23"/>
  <c r="D77" i="23"/>
  <c r="E77" i="23"/>
  <c r="F77" i="23"/>
  <c r="C78" i="23"/>
  <c r="D78" i="23"/>
  <c r="E78" i="23"/>
  <c r="F78" i="23"/>
  <c r="C79" i="23"/>
  <c r="D79" i="23"/>
  <c r="E79" i="23"/>
  <c r="F79" i="23"/>
  <c r="C80" i="23"/>
  <c r="D80" i="23"/>
  <c r="E80" i="23"/>
  <c r="F80" i="23"/>
  <c r="C81" i="23"/>
  <c r="D81" i="23"/>
  <c r="E81" i="23"/>
  <c r="F81" i="23"/>
  <c r="F2" i="23"/>
  <c r="E2" i="23"/>
  <c r="D2" i="23"/>
  <c r="C2" i="23"/>
  <c r="I4" i="23" l="1"/>
  <c r="I26" i="23"/>
  <c r="H74" i="23"/>
  <c r="J5" i="23"/>
  <c r="K15" i="23"/>
  <c r="I42" i="23"/>
  <c r="I34" i="23"/>
  <c r="K76" i="23"/>
  <c r="I53" i="23"/>
  <c r="I41" i="23"/>
  <c r="I33" i="23"/>
  <c r="I22" i="23"/>
  <c r="I70" i="23"/>
  <c r="I49" i="23"/>
  <c r="I38" i="23"/>
  <c r="I30" i="23"/>
  <c r="I18" i="23"/>
  <c r="K56" i="23"/>
  <c r="I66" i="23"/>
  <c r="I45" i="23"/>
  <c r="I37" i="23"/>
  <c r="I29" i="23"/>
  <c r="I14" i="23"/>
  <c r="J66" i="23"/>
  <c r="J22" i="23"/>
  <c r="J18" i="23"/>
  <c r="J14" i="23"/>
  <c r="J11" i="23"/>
  <c r="J7" i="23"/>
  <c r="J3" i="23"/>
  <c r="J62" i="23"/>
  <c r="J55" i="23"/>
  <c r="J47" i="23"/>
  <c r="J10" i="23"/>
  <c r="J6" i="23"/>
  <c r="K80" i="23"/>
  <c r="K72" i="23"/>
  <c r="I69" i="23"/>
  <c r="I65" i="23"/>
  <c r="I62" i="23"/>
  <c r="I58" i="23"/>
  <c r="J54" i="23"/>
  <c r="J50" i="23"/>
  <c r="J46" i="23"/>
  <c r="J43" i="23"/>
  <c r="J39" i="23"/>
  <c r="J35" i="23"/>
  <c r="J31" i="23"/>
  <c r="K27" i="23"/>
  <c r="I25" i="23"/>
  <c r="I21" i="23"/>
  <c r="I17" i="23"/>
  <c r="I13" i="23"/>
  <c r="I10" i="23"/>
  <c r="I6" i="23"/>
  <c r="J70" i="23"/>
  <c r="J63" i="23"/>
  <c r="J59" i="23"/>
  <c r="J26" i="23"/>
  <c r="K74" i="23"/>
  <c r="J58" i="23"/>
  <c r="J51" i="23"/>
  <c r="K43" i="23"/>
  <c r="J4" i="23"/>
  <c r="K78" i="23"/>
  <c r="J71" i="23"/>
  <c r="J67" i="23"/>
  <c r="K64" i="23"/>
  <c r="I61" i="23"/>
  <c r="I57" i="23"/>
  <c r="I54" i="23"/>
  <c r="I50" i="23"/>
  <c r="I46" i="23"/>
  <c r="J42" i="23"/>
  <c r="J38" i="23"/>
  <c r="J34" i="23"/>
  <c r="J30" i="23"/>
  <c r="J27" i="23"/>
  <c r="J23" i="23"/>
  <c r="J19" i="23"/>
  <c r="J15" i="23"/>
  <c r="K11" i="23"/>
  <c r="I9" i="23"/>
  <c r="I5" i="23"/>
  <c r="H80" i="23"/>
  <c r="H76" i="23"/>
  <c r="K71" i="23"/>
  <c r="K39" i="23"/>
  <c r="H3" i="23"/>
  <c r="H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K81" i="23"/>
  <c r="K79" i="23"/>
  <c r="K77" i="23"/>
  <c r="K75" i="23"/>
  <c r="K68" i="23"/>
  <c r="K60" i="23"/>
  <c r="K51" i="23"/>
  <c r="K35" i="23"/>
  <c r="K19" i="23"/>
  <c r="K3" i="23"/>
  <c r="H81" i="23"/>
  <c r="H79" i="23"/>
  <c r="H77" i="23"/>
  <c r="H75" i="23"/>
  <c r="H73" i="23"/>
  <c r="K67" i="23"/>
  <c r="K59" i="23"/>
  <c r="K47" i="23"/>
  <c r="K31" i="23"/>
  <c r="K6" i="23"/>
  <c r="K10" i="23"/>
  <c r="K14" i="23"/>
  <c r="K18" i="23"/>
  <c r="K22" i="23"/>
  <c r="K26" i="23"/>
  <c r="K30" i="23"/>
  <c r="K34" i="23"/>
  <c r="K38" i="23"/>
  <c r="K42" i="23"/>
  <c r="K46" i="23"/>
  <c r="K50" i="23"/>
  <c r="K54" i="23"/>
  <c r="K58" i="23"/>
  <c r="K62" i="23"/>
  <c r="K66" i="23"/>
  <c r="K70" i="23"/>
  <c r="K5" i="23"/>
  <c r="K9" i="23"/>
  <c r="K13" i="23"/>
  <c r="K17" i="23"/>
  <c r="K21" i="23"/>
  <c r="K25" i="23"/>
  <c r="K29" i="23"/>
  <c r="K33" i="23"/>
  <c r="K37" i="23"/>
  <c r="K41" i="23"/>
  <c r="K45" i="23"/>
  <c r="K49" i="23"/>
  <c r="K53" i="23"/>
  <c r="K57" i="23"/>
  <c r="K61" i="23"/>
  <c r="K65" i="23"/>
  <c r="K69" i="23"/>
  <c r="K4" i="23"/>
  <c r="K8" i="23"/>
  <c r="K12" i="23"/>
  <c r="K16" i="23"/>
  <c r="K20" i="23"/>
  <c r="K24" i="23"/>
  <c r="K28" i="23"/>
  <c r="K32" i="23"/>
  <c r="K36" i="23"/>
  <c r="K40" i="23"/>
  <c r="K44" i="23"/>
  <c r="K48" i="23"/>
  <c r="K52" i="23"/>
  <c r="H78" i="23"/>
  <c r="K63" i="23"/>
  <c r="K55" i="23"/>
  <c r="K7" i="23"/>
  <c r="K23" i="23"/>
  <c r="K73" i="23"/>
  <c r="J81" i="23"/>
  <c r="J80" i="23"/>
  <c r="J79" i="23"/>
  <c r="J78" i="23"/>
  <c r="J77" i="23"/>
  <c r="J76" i="23"/>
  <c r="J75" i="23"/>
  <c r="J74" i="23"/>
  <c r="J73" i="23"/>
  <c r="J72" i="23"/>
  <c r="I71" i="23"/>
  <c r="J68" i="23"/>
  <c r="I67" i="23"/>
  <c r="J64" i="23"/>
  <c r="I63" i="23"/>
  <c r="J60" i="23"/>
  <c r="I59" i="23"/>
  <c r="J56" i="23"/>
  <c r="I55" i="23"/>
  <c r="J52" i="23"/>
  <c r="I51" i="23"/>
  <c r="J48" i="23"/>
  <c r="I47" i="23"/>
  <c r="J44" i="23"/>
  <c r="I43" i="23"/>
  <c r="J40" i="23"/>
  <c r="I39" i="23"/>
  <c r="J36" i="23"/>
  <c r="I35" i="23"/>
  <c r="J32" i="23"/>
  <c r="I31" i="23"/>
  <c r="J28" i="23"/>
  <c r="I27" i="23"/>
  <c r="J24" i="23"/>
  <c r="I23" i="23"/>
  <c r="J20" i="23"/>
  <c r="I19" i="23"/>
  <c r="J16" i="23"/>
  <c r="I15" i="23"/>
  <c r="J12" i="23"/>
  <c r="I11" i="23"/>
  <c r="J8" i="23"/>
  <c r="I7" i="23"/>
  <c r="I3" i="23"/>
  <c r="I81" i="23"/>
  <c r="I80" i="23"/>
  <c r="I79" i="23"/>
  <c r="I78" i="23"/>
  <c r="I77" i="23"/>
  <c r="I76" i="23"/>
  <c r="I75" i="23"/>
  <c r="I74" i="23"/>
  <c r="I73" i="23"/>
  <c r="I72" i="23"/>
  <c r="J69" i="23"/>
  <c r="I68" i="23"/>
  <c r="J65" i="23"/>
  <c r="I64" i="23"/>
  <c r="J61" i="23"/>
  <c r="I60" i="23"/>
  <c r="J57" i="23"/>
  <c r="I56" i="23"/>
  <c r="J53" i="23"/>
  <c r="I52" i="23"/>
  <c r="J49" i="23"/>
  <c r="I48" i="23"/>
  <c r="J45" i="23"/>
  <c r="I44" i="23"/>
  <c r="J41" i="23"/>
  <c r="I40" i="23"/>
  <c r="J37" i="23"/>
  <c r="I36" i="23"/>
  <c r="J33" i="23"/>
  <c r="I32" i="23"/>
  <c r="J29" i="23"/>
  <c r="I28" i="23"/>
  <c r="J25" i="23"/>
  <c r="I24" i="23"/>
  <c r="J21" i="23"/>
  <c r="I20" i="23"/>
  <c r="J17" i="23"/>
  <c r="I16" i="23"/>
  <c r="J13" i="23"/>
  <c r="I12" i="23"/>
  <c r="J9" i="23"/>
  <c r="I8" i="23"/>
  <c r="H2" i="23"/>
  <c r="I2" i="23"/>
  <c r="J2" i="23"/>
  <c r="K2" i="23"/>
  <c r="D4" i="18" l="1"/>
  <c r="D11" i="7"/>
  <c r="C11" i="7"/>
  <c r="D10" i="7"/>
  <c r="C10" i="7"/>
  <c r="D9" i="7"/>
  <c r="C9" i="7"/>
  <c r="S9" i="6"/>
  <c r="N9" i="6"/>
  <c r="K9" i="6"/>
  <c r="J9" i="6"/>
  <c r="L10" i="8" s="1"/>
  <c r="E10" i="7" l="1"/>
  <c r="E9" i="7"/>
  <c r="F4" i="18"/>
  <c r="E4" i="18"/>
  <c r="F7" i="18"/>
  <c r="D7" i="18"/>
  <c r="E7" i="18"/>
  <c r="E11" i="7"/>
  <c r="E9" i="8"/>
  <c r="I9" i="8"/>
  <c r="M9" i="8"/>
  <c r="E10" i="8"/>
  <c r="I10" i="8"/>
  <c r="M10" i="8"/>
  <c r="F9" i="8"/>
  <c r="J9" i="8"/>
  <c r="N9" i="8"/>
  <c r="F10" i="8"/>
  <c r="J10" i="8"/>
  <c r="N10" i="8"/>
  <c r="C9" i="8"/>
  <c r="G9" i="8"/>
  <c r="K9" i="8"/>
  <c r="G10" i="8"/>
  <c r="K10" i="8"/>
  <c r="D9" i="8"/>
  <c r="H9" i="8"/>
  <c r="L9" i="8"/>
  <c r="L11" i="8" s="1"/>
  <c r="D10" i="8"/>
  <c r="H10" i="8"/>
  <c r="H11" i="8" l="1"/>
  <c r="J11" i="8"/>
  <c r="D11" i="8"/>
  <c r="K11" i="8"/>
  <c r="F11" i="8"/>
  <c r="M11" i="8"/>
  <c r="G11" i="8"/>
  <c r="I11" i="8"/>
  <c r="N11" i="8"/>
  <c r="E11" i="8"/>
</calcChain>
</file>

<file path=xl/sharedStrings.xml><?xml version="1.0" encoding="utf-8"?>
<sst xmlns="http://schemas.openxmlformats.org/spreadsheetml/2006/main" count="503" uniqueCount="204">
  <si>
    <t>Nome</t>
  </si>
  <si>
    <t>Comissão</t>
  </si>
  <si>
    <t>Telefone</t>
  </si>
  <si>
    <t>E-mail</t>
  </si>
  <si>
    <t>Marketing e Comunicação</t>
  </si>
  <si>
    <t>Pessoas</t>
  </si>
  <si>
    <t>Comissões</t>
  </si>
  <si>
    <t>Acadêmica</t>
  </si>
  <si>
    <t>Administrativa e Financeira</t>
  </si>
  <si>
    <t>Beatriz</t>
  </si>
  <si>
    <t>mariabeatrizm29@gmail.com</t>
  </si>
  <si>
    <t>Bianca</t>
  </si>
  <si>
    <t>Izabele</t>
  </si>
  <si>
    <t>Nayanne</t>
  </si>
  <si>
    <t>Atividade</t>
  </si>
  <si>
    <t>PET Educa</t>
  </si>
  <si>
    <t>PET nas Escolas</t>
  </si>
  <si>
    <t>Semana Zero</t>
  </si>
  <si>
    <t>Prioridade</t>
  </si>
  <si>
    <t>What - O que será feito?</t>
  </si>
  <si>
    <t>Why - Por que será feito?</t>
  </si>
  <si>
    <t>Who - Por quem será feito?</t>
  </si>
  <si>
    <t>When - Data de início</t>
  </si>
  <si>
    <t>Prazo (Dias)</t>
  </si>
  <si>
    <t>Fim Planejado</t>
  </si>
  <si>
    <t>Where - Onde?</t>
  </si>
  <si>
    <t>Fim Realizado</t>
  </si>
  <si>
    <t>Diferença</t>
  </si>
  <si>
    <t>How - Como será feito?</t>
  </si>
  <si>
    <t>How much - Valor Previsto</t>
  </si>
  <si>
    <t>Valor Real</t>
  </si>
  <si>
    <t>Status</t>
  </si>
  <si>
    <t>Victor</t>
  </si>
  <si>
    <t>Alta</t>
  </si>
  <si>
    <t>Baixa</t>
  </si>
  <si>
    <t>Média</t>
  </si>
  <si>
    <t>Em andamento</t>
  </si>
  <si>
    <t>Realizada</t>
  </si>
  <si>
    <t>Pendente</t>
  </si>
  <si>
    <t>Diferença2</t>
  </si>
  <si>
    <t>Numeração</t>
  </si>
  <si>
    <t>askmsa</t>
  </si>
  <si>
    <t>adlsad</t>
  </si>
  <si>
    <t>asdasd</t>
  </si>
  <si>
    <t>sdfsdfsd</t>
  </si>
  <si>
    <t>Quantidade de Ações</t>
  </si>
  <si>
    <t>Ações Realizadas</t>
  </si>
  <si>
    <t>%Concluído</t>
  </si>
  <si>
    <t>Mês</t>
  </si>
  <si>
    <t>Planejado</t>
  </si>
  <si>
    <t>Realizado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</si>
  <si>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</si>
  <si>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</si>
  <si>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</si>
  <si>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</si>
  <si>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</si>
  <si>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</si>
  <si>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</si>
  <si>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</si>
  <si>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</si>
  <si>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</si>
  <si>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</si>
  <si>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</si>
  <si>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% Atividades realizadas</t>
  </si>
  <si>
    <t>Total Geral</t>
  </si>
  <si>
    <t>Contagem de Status</t>
  </si>
  <si>
    <t>PETianos (as)</t>
  </si>
  <si>
    <t>(Tudo)</t>
  </si>
  <si>
    <t>Membro</t>
  </si>
  <si>
    <t>Estimativa</t>
  </si>
  <si>
    <t>Real</t>
  </si>
  <si>
    <t>Fatores Positivos</t>
  </si>
  <si>
    <t>Fatores Negativos</t>
  </si>
  <si>
    <t>INTERNOS</t>
  </si>
  <si>
    <t>FORÇAS</t>
  </si>
  <si>
    <t>FRAQUEZAS</t>
  </si>
  <si>
    <t>EXTERNOS</t>
  </si>
  <si>
    <t>OPORTUNIDADES</t>
  </si>
  <si>
    <t>AMEAÇAS</t>
  </si>
  <si>
    <t>Descrição</t>
  </si>
  <si>
    <t>Interno ou Externo?</t>
  </si>
  <si>
    <t>Positivo ou Negativo?</t>
  </si>
  <si>
    <t>A</t>
  </si>
  <si>
    <t>Interno</t>
  </si>
  <si>
    <t>Positivo</t>
  </si>
  <si>
    <t>B</t>
  </si>
  <si>
    <t>Negativo</t>
  </si>
  <si>
    <t>C</t>
  </si>
  <si>
    <t>Externo</t>
  </si>
  <si>
    <t>D</t>
  </si>
  <si>
    <t>E</t>
  </si>
  <si>
    <t>F</t>
  </si>
  <si>
    <t>G</t>
  </si>
  <si>
    <t>H</t>
  </si>
  <si>
    <t>I</t>
  </si>
  <si>
    <t>J</t>
  </si>
  <si>
    <t>K</t>
  </si>
  <si>
    <t>L</t>
  </si>
  <si>
    <t>Interno/Positivo</t>
  </si>
  <si>
    <t>Interno/Negativo</t>
  </si>
  <si>
    <t>Externo/Positivo</t>
  </si>
  <si>
    <t>Externo/Negativo</t>
  </si>
  <si>
    <t>Planejamento</t>
  </si>
  <si>
    <t>Distribuição de Atividades</t>
  </si>
  <si>
    <t>Motivação</t>
  </si>
  <si>
    <t>Resultados Entregues</t>
  </si>
  <si>
    <t>Melhoria contínua</t>
  </si>
  <si>
    <t>Empenho dos Membros</t>
  </si>
  <si>
    <t>Média da Avaliação</t>
  </si>
  <si>
    <t>ID</t>
  </si>
  <si>
    <t>O indicador avaliativo das atividades (IAA) analisa o desempenho da atividade</t>
  </si>
  <si>
    <t>1. Planejamento da Atividade;</t>
  </si>
  <si>
    <t>2. Delegação e distribuição de funções/atividades;</t>
  </si>
  <si>
    <t>3. Motivação</t>
  </si>
  <si>
    <t>4. Empenho dos membros;</t>
  </si>
  <si>
    <t>5. Melhoria Contínua.</t>
  </si>
  <si>
    <t>A avaliação dessa atividade deve ser realizada em um Forms, onde deverá ser</t>
  </si>
  <si>
    <t>atribuido para cada um desses itens uma nota entre 0 e 5. Em seguida, deverá</t>
  </si>
  <si>
    <t>ser calculado a média das notas atribuídas a cada um desses itens e, então,</t>
  </si>
  <si>
    <t>A avaliação deverá ocorrer sempre ao final de cada atividade realizada, onde</t>
  </si>
  <si>
    <t>serão apresentado os relatórios a partir dos dados coletados na planilha de 5W2H</t>
  </si>
  <si>
    <t xml:space="preserve">e os Feedbacks dos participantes. </t>
  </si>
  <si>
    <t>No final do ano, quando for elaborado o Planejamento Estratégico, será apresen-</t>
  </si>
  <si>
    <t>tado os resultados dessa avaliação, sendo decidido se a atividade permanecerá</t>
  </si>
  <si>
    <t>ou será descartada.</t>
  </si>
  <si>
    <t>de acordo com cinco pontos, sendo eles:</t>
  </si>
  <si>
    <t>colocar essas médias na planilha. Ao final, será dada uma média geral da atividade</t>
  </si>
  <si>
    <t>e, caso essa média seja menor que 4, a atividade deverá ser revista.</t>
  </si>
  <si>
    <t>Filtro de Atividades</t>
  </si>
  <si>
    <t>Número de Admissões</t>
  </si>
  <si>
    <t>Número de Desligamentos</t>
  </si>
  <si>
    <t>Taxa de Turnover</t>
  </si>
  <si>
    <t>Número Total de PETianos</t>
  </si>
  <si>
    <t>prioridade</t>
  </si>
  <si>
    <t>Rótulos de Linha</t>
  </si>
  <si>
    <t>Meta</t>
  </si>
  <si>
    <t>Sim</t>
  </si>
  <si>
    <t>éSMART</t>
  </si>
  <si>
    <t>Não</t>
  </si>
  <si>
    <t>Indicador</t>
  </si>
  <si>
    <t>Prazo</t>
  </si>
  <si>
    <t>éAlcançavel?</t>
  </si>
  <si>
    <t>éMensurável?</t>
  </si>
  <si>
    <t>éEspecífica?</t>
  </si>
  <si>
    <t>éRealista?</t>
  </si>
  <si>
    <t>éTemporal?</t>
  </si>
  <si>
    <t>Detalhamento</t>
  </si>
  <si>
    <t>Direção</t>
  </si>
  <si>
    <t>Início</t>
  </si>
  <si>
    <t>Resultado Atual</t>
  </si>
  <si>
    <t>bbbbb</t>
  </si>
  <si>
    <t>Quanto menor melhor</t>
  </si>
  <si>
    <t>Prazo (em meses)</t>
  </si>
  <si>
    <t>Objetivo a ser atingido</t>
  </si>
  <si>
    <t>Categoria a ser contabilizada</t>
  </si>
  <si>
    <t>Superar 1000 inscritos no Youtube</t>
  </si>
  <si>
    <t xml:space="preserve">Número de Inscritos </t>
  </si>
  <si>
    <t>Até o final de 2020</t>
  </si>
  <si>
    <t>Quanto maior melhor</t>
  </si>
  <si>
    <t>Inscritos no YT</t>
  </si>
  <si>
    <t>SADSA</t>
  </si>
  <si>
    <t>asdsad</t>
  </si>
  <si>
    <t>asdassd</t>
  </si>
  <si>
    <t>dasdasd</t>
  </si>
  <si>
    <t>asdsa</t>
  </si>
  <si>
    <t>asdasdas</t>
  </si>
  <si>
    <t>asdsadx</t>
  </si>
  <si>
    <t>dsadsa</t>
  </si>
  <si>
    <t>asdas</t>
  </si>
  <si>
    <t>sddasd</t>
  </si>
  <si>
    <t>fasdasd</t>
  </si>
  <si>
    <t>sdasdas</t>
  </si>
  <si>
    <t>adasd</t>
  </si>
  <si>
    <t>dasasd</t>
  </si>
  <si>
    <t>metas</t>
  </si>
  <si>
    <t>definidas</t>
  </si>
  <si>
    <t>éSmart</t>
  </si>
  <si>
    <t>adsasdds</t>
  </si>
  <si>
    <t>acima da meta</t>
  </si>
  <si>
    <t>abaixo da meta</t>
  </si>
  <si>
    <t>metas atingidas</t>
  </si>
  <si>
    <t>dsadsad</t>
  </si>
  <si>
    <t>Atividades</t>
  </si>
  <si>
    <t>Planejadas</t>
  </si>
  <si>
    <t>Realizadas</t>
  </si>
  <si>
    <t>Ano inicial do planejamento</t>
  </si>
  <si>
    <t>Planejar para quantos anos?</t>
  </si>
  <si>
    <t>Missão</t>
  </si>
  <si>
    <t>Visão</t>
  </si>
  <si>
    <t>Valores</t>
  </si>
  <si>
    <t>adlas,dlasd,asl,dsadsadkmaskdmsakdmsakdasdasdasdmsadkonsaijdbasnjidnasjkdnsakjdnkjsandkjsandkjasndkjsnakdas</t>
  </si>
  <si>
    <t>dassadasdsadmoaskdmaskjdnaisjND IUASDHaosmdkoaSMOJD Jaijdsaio dj oifjsaoidSKADLMSADjsandoiasjdsad sadsa</t>
  </si>
  <si>
    <t>Objetivo Estratégico Associado</t>
  </si>
  <si>
    <t>Objetivos Estratégicos</t>
  </si>
  <si>
    <t>a</t>
  </si>
  <si>
    <t>b</t>
  </si>
  <si>
    <t>x</t>
  </si>
  <si>
    <t>dasdasdasd</t>
  </si>
  <si>
    <t>asdasdsa</t>
  </si>
  <si>
    <t>adssadsa</t>
  </si>
  <si>
    <t>Avaliação</t>
  </si>
  <si>
    <t>IAA</t>
  </si>
  <si>
    <t>askdsad</t>
  </si>
  <si>
    <t>sds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</si>
</sst>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00000&quot;-&quot;0000"/>
  </numFmts>
  <fonts count="25" x14ac:knownFonts="1">
    <font>
      <sz val="11"/>
      <color theme="1"/>
      <name val="Calibri"/>
      <family val="2"/>
      <scheme val="minor"/>
    </font>
    <font>
      <sz val="12"/>
      <color theme="1"/>
      <name val="Bahnschrift Light Condensed"/>
      <family val="2"/>
    </font>
    <font>
      <b/>
      <sz val="12"/>
      <color theme="1"/>
      <name val="Bahnschrift Light Condensed"/>
      <family val="2"/>
    </font>
    <font>
      <b/>
      <sz val="12"/>
      <color theme="0"/>
      <name val="Bahnschrift Light Condensed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Bahnschrift Light Condensed"/>
      <family val="2"/>
    </font>
    <font>
      <sz val="12"/>
      <name val="Bahnschrift Light Condensed"/>
      <family val="2"/>
    </font>
    <font>
      <sz val="8"/>
      <name val="Calibri"/>
      <family val="2"/>
      <scheme val="minor"/>
    </font>
    <font>
      <sz val="12"/>
      <color theme="1"/>
      <name val="Bahnschrift Light"/>
      <family val="2"/>
    </font>
    <font>
      <b/>
      <sz val="12"/>
      <color theme="1"/>
      <name val="Bahnschrift Light"/>
      <family val="2"/>
    </font>
    <font>
      <b/>
      <sz val="12"/>
      <color theme="0"/>
      <name val="Bahnschrift Light"/>
      <family val="2"/>
    </font>
    <font>
      <sz val="11"/>
      <color theme="0"/>
      <name val="Calibri"/>
      <family val="2"/>
      <scheme val="minor"/>
    </font>
    <font>
      <sz val="20"/>
      <color theme="0"/>
      <name val="League Gothic"/>
      <family val="3"/>
    </font>
    <font>
      <sz val="20"/>
      <color theme="0"/>
      <name val="Calibri"/>
      <family val="2"/>
      <scheme val="minor"/>
    </font>
    <font>
      <sz val="12"/>
      <color theme="1"/>
      <name val="Arial"/>
      <family val="2"/>
    </font>
    <font>
      <sz val="16"/>
      <color theme="1"/>
      <name val="League Gothic"/>
      <family val="3"/>
    </font>
    <font>
      <b/>
      <sz val="11"/>
      <color theme="0"/>
      <name val="League Gothic"/>
      <family val="3"/>
    </font>
    <font>
      <b/>
      <sz val="14"/>
      <color theme="0"/>
      <name val="Cairo"/>
    </font>
    <font>
      <sz val="12"/>
      <name val="Arial"/>
      <family val="2"/>
    </font>
    <font>
      <sz val="11"/>
      <name val="Calibri"/>
      <family val="2"/>
      <scheme val="minor"/>
    </font>
    <font>
      <sz val="12"/>
      <color theme="1"/>
      <name val="Bahnschrift Light"/>
    </font>
    <font>
      <b/>
      <sz val="12"/>
      <color theme="0"/>
      <name val="Bahnschrift Light"/>
    </font>
    <font>
      <b/>
      <sz val="12"/>
      <color theme="1"/>
      <name val="Bahnschrift Light"/>
    </font>
    <font>
      <sz val="11"/>
      <color rgb="FFC00000"/>
      <name val="Bahnschrift Light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56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Font="1"/>
    <xf numFmtId="0" fontId="2" fillId="0" borderId="0" xfId="0" applyFont="1"/>
    <xf numFmtId="0" fontId="1" fillId="0" borderId="0" xfId="0" applyFont="1" applyBorder="1"/>
    <xf numFmtId="0" fontId="3" fillId="3" borderId="0" xfId="0" applyFont="1" applyFill="1" applyAlignment="1">
      <alignment horizontal="center"/>
    </xf>
    <xf numFmtId="0" fontId="2" fillId="3" borderId="0" xfId="0" applyFont="1" applyFill="1"/>
    <xf numFmtId="0" fontId="3" fillId="3" borderId="0" xfId="0" applyFont="1" applyFill="1" applyAlignment="1">
      <alignment horizontal="left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6" fillId="0" borderId="0" xfId="3" applyFont="1" applyAlignment="1">
      <alignment horizontal="center"/>
    </xf>
    <xf numFmtId="0" fontId="7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3" fillId="3" borderId="0" xfId="0" applyNumberFormat="1" applyFont="1" applyFill="1" applyAlignment="1">
      <alignment horizontal="center"/>
    </xf>
    <xf numFmtId="14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center" vertical="center" wrapText="1"/>
    </xf>
    <xf numFmtId="0" fontId="1" fillId="0" borderId="0" xfId="0" applyFont="1" applyFill="1"/>
    <xf numFmtId="7" fontId="1" fillId="0" borderId="0" xfId="1" applyNumberFormat="1" applyFont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14" fontId="3" fillId="3" borderId="2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4" fontId="3" fillId="2" borderId="2" xfId="0" applyNumberFormat="1" applyFont="1" applyFill="1" applyBorder="1" applyAlignment="1">
      <alignment horizontal="center" vertical="center" wrapText="1"/>
    </xf>
    <xf numFmtId="7" fontId="3" fillId="3" borderId="2" xfId="1" applyNumberFormat="1" applyFont="1" applyFill="1" applyBorder="1" applyAlignment="1">
      <alignment horizontal="center" vertical="center" wrapText="1"/>
    </xf>
    <xf numFmtId="7" fontId="3" fillId="2" borderId="2" xfId="1" applyNumberFormat="1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/>
    </xf>
    <xf numFmtId="9" fontId="1" fillId="0" borderId="0" xfId="2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3" fillId="3" borderId="2" xfId="0" applyNumberFormat="1" applyFont="1" applyFill="1" applyBorder="1" applyAlignment="1">
      <alignment horizontal="center" vertical="center" wrapText="1"/>
    </xf>
    <xf numFmtId="0" fontId="3" fillId="3" borderId="4" xfId="0" applyFont="1" applyFill="1" applyBorder="1"/>
    <xf numFmtId="0" fontId="1" fillId="0" borderId="4" xfId="0" applyFont="1" applyBorder="1" applyAlignment="1">
      <alignment horizontal="center"/>
    </xf>
    <xf numFmtId="9" fontId="1" fillId="0" borderId="4" xfId="2" applyFont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0" borderId="0" xfId="0" applyFont="1" applyFill="1" applyBorder="1"/>
    <xf numFmtId="0" fontId="9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0" fontId="11" fillId="0" borderId="0" xfId="0" applyFont="1" applyFill="1" applyAlignment="1">
      <alignment horizontal="center"/>
    </xf>
    <xf numFmtId="0" fontId="12" fillId="0" borderId="0" xfId="3" applyFont="1" applyFill="1" applyAlignment="1"/>
    <xf numFmtId="0" fontId="14" fillId="0" borderId="0" xfId="0" applyFont="1"/>
    <xf numFmtId="0" fontId="15" fillId="0" borderId="8" xfId="0" applyFont="1" applyBorder="1"/>
    <xf numFmtId="0" fontId="15" fillId="0" borderId="6" xfId="0" applyFont="1" applyBorder="1"/>
    <xf numFmtId="0" fontId="15" fillId="0" borderId="9" xfId="0" applyFont="1" applyBorder="1"/>
    <xf numFmtId="0" fontId="15" fillId="0" borderId="0" xfId="0" applyFont="1"/>
    <xf numFmtId="0" fontId="15" fillId="0" borderId="10" xfId="0" applyFont="1" applyBorder="1"/>
    <xf numFmtId="0" fontId="15" fillId="0" borderId="11" xfId="0" applyFont="1" applyBorder="1"/>
    <xf numFmtId="0" fontId="12" fillId="0" borderId="0" xfId="0" applyFont="1"/>
    <xf numFmtId="0" fontId="17" fillId="0" borderId="0" xfId="0" applyFont="1"/>
    <xf numFmtId="0" fontId="18" fillId="3" borderId="12" xfId="0" applyFont="1" applyFill="1" applyBorder="1" applyAlignment="1">
      <alignment horizontal="center" vertical="top"/>
    </xf>
    <xf numFmtId="0" fontId="18" fillId="3" borderId="5" xfId="0" applyFont="1" applyFill="1" applyBorder="1" applyAlignment="1">
      <alignment horizontal="center" vertical="top"/>
    </xf>
    <xf numFmtId="0" fontId="18" fillId="3" borderId="7" xfId="0" applyFont="1" applyFill="1" applyBorder="1" applyAlignment="1">
      <alignment horizontal="center" vertical="top"/>
    </xf>
    <xf numFmtId="0" fontId="19" fillId="0" borderId="13" xfId="0" applyFont="1" applyBorder="1"/>
    <xf numFmtId="0" fontId="19" fillId="0" borderId="14" xfId="0" applyFont="1" applyBorder="1"/>
    <xf numFmtId="0" fontId="15" fillId="0" borderId="0" xfId="0" applyFont="1" applyBorder="1"/>
    <xf numFmtId="0" fontId="15" fillId="0" borderId="1" xfId="0" applyFont="1" applyBorder="1"/>
    <xf numFmtId="0" fontId="15" fillId="0" borderId="2" xfId="0" applyFont="1" applyBorder="1"/>
    <xf numFmtId="0" fontId="15" fillId="0" borderId="3" xfId="0" applyFont="1" applyBorder="1"/>
    <xf numFmtId="0" fontId="20" fillId="3" borderId="0" xfId="0" applyFont="1" applyFill="1"/>
    <xf numFmtId="0" fontId="11" fillId="3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0" fontId="9" fillId="3" borderId="0" xfId="0" applyFont="1" applyFill="1"/>
    <xf numFmtId="0" fontId="9" fillId="0" borderId="0" xfId="0" applyFont="1" applyAlignme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9" fillId="3" borderId="0" xfId="0" applyFont="1" applyFill="1" applyAlignment="1">
      <alignment horizontal="center"/>
    </xf>
    <xf numFmtId="0" fontId="9" fillId="0" borderId="8" xfId="0" applyFont="1" applyBorder="1"/>
    <xf numFmtId="0" fontId="9" fillId="0" borderId="6" xfId="0" applyFont="1" applyBorder="1"/>
    <xf numFmtId="0" fontId="9" fillId="0" borderId="9" xfId="0" applyFont="1" applyBorder="1"/>
    <xf numFmtId="0" fontId="9" fillId="0" borderId="10" xfId="0" applyFont="1" applyBorder="1"/>
    <xf numFmtId="0" fontId="9" fillId="0" borderId="0" xfId="0" applyFont="1" applyBorder="1"/>
    <xf numFmtId="0" fontId="9" fillId="0" borderId="11" xfId="0" applyFont="1" applyBorder="1"/>
    <xf numFmtId="0" fontId="9" fillId="0" borderId="1" xfId="0" applyFont="1" applyBorder="1"/>
    <xf numFmtId="0" fontId="9" fillId="0" borderId="2" xfId="0" applyFont="1" applyBorder="1"/>
    <xf numFmtId="0" fontId="9" fillId="0" borderId="3" xfId="0" applyFont="1" applyBorder="1"/>
    <xf numFmtId="0" fontId="11" fillId="0" borderId="0" xfId="0" applyFont="1" applyFill="1" applyAlignment="1"/>
    <xf numFmtId="0" fontId="9" fillId="2" borderId="0" xfId="0" applyFont="1" applyFill="1" applyAlignment="1">
      <alignment horizontal="center"/>
    </xf>
    <xf numFmtId="0" fontId="11" fillId="3" borderId="14" xfId="0" applyFont="1" applyFill="1" applyBorder="1"/>
    <xf numFmtId="0" fontId="9" fillId="0" borderId="14" xfId="0" applyFont="1" applyBorder="1" applyAlignment="1">
      <alignment horizontal="center"/>
    </xf>
    <xf numFmtId="10" fontId="9" fillId="0" borderId="14" xfId="2" applyNumberFormat="1" applyFont="1" applyBorder="1" applyAlignment="1">
      <alignment horizontal="center"/>
    </xf>
    <xf numFmtId="0" fontId="9" fillId="2" borderId="0" xfId="0" applyFont="1" applyFill="1"/>
    <xf numFmtId="44" fontId="0" fillId="0" borderId="0" xfId="0" applyNumberFormat="1"/>
    <xf numFmtId="0" fontId="9" fillId="0" borderId="0" xfId="0" applyFont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  <xf numFmtId="0" fontId="9" fillId="0" borderId="0" xfId="0" applyNumberFormat="1" applyFont="1"/>
    <xf numFmtId="14" fontId="9" fillId="0" borderId="0" xfId="0" applyNumberFormat="1" applyFont="1" applyAlignment="1">
      <alignment horizontal="center"/>
    </xf>
    <xf numFmtId="14" fontId="11" fillId="3" borderId="0" xfId="0" applyNumberFormat="1" applyFont="1" applyFill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9" fillId="0" borderId="0" xfId="0" applyNumberFormat="1" applyFont="1" applyAlignment="1">
      <alignment horizontal="center"/>
    </xf>
    <xf numFmtId="0" fontId="11" fillId="3" borderId="0" xfId="0" applyNumberFormat="1" applyFont="1" applyFill="1" applyAlignment="1">
      <alignment horizontal="center" vertical="center" wrapText="1"/>
    </xf>
    <xf numFmtId="9" fontId="9" fillId="0" borderId="0" xfId="0" applyNumberFormat="1" applyFont="1" applyAlignment="1">
      <alignment horizontal="center"/>
    </xf>
    <xf numFmtId="0" fontId="11" fillId="3" borderId="12" xfId="0" applyFont="1" applyFill="1" applyBorder="1" applyAlignment="1">
      <alignment vertical="center" wrapText="1"/>
    </xf>
    <xf numFmtId="0" fontId="9" fillId="0" borderId="7" xfId="0" applyFont="1" applyBorder="1" applyAlignment="1">
      <alignment horizontal="center" vertical="center" wrapText="1"/>
    </xf>
    <xf numFmtId="0" fontId="11" fillId="3" borderId="0" xfId="0" applyFont="1" applyFill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1" fillId="3" borderId="12" xfId="0" applyFont="1" applyFill="1" applyBorder="1" applyAlignment="1">
      <alignment horizontal="left" vertical="center"/>
    </xf>
    <xf numFmtId="0" fontId="11" fillId="8" borderId="0" xfId="0" applyFont="1" applyFill="1" applyBorder="1" applyAlignment="1">
      <alignment horizontal="left" vertical="center"/>
    </xf>
    <xf numFmtId="0" fontId="9" fillId="8" borderId="0" xfId="0" applyFont="1" applyFill="1" applyBorder="1" applyAlignment="1">
      <alignment horizontal="left" vertical="center" wrapText="1"/>
    </xf>
    <xf numFmtId="0" fontId="9" fillId="8" borderId="0" xfId="0" applyFont="1" applyFill="1" applyBorder="1" applyAlignment="1">
      <alignment horizontal="left" vertical="center"/>
    </xf>
    <xf numFmtId="0" fontId="9" fillId="8" borderId="0" xfId="0" applyFont="1" applyFill="1" applyAlignment="1">
      <alignment horizontal="left" vertical="center"/>
    </xf>
    <xf numFmtId="14" fontId="9" fillId="2" borderId="0" xfId="0" applyNumberFormat="1" applyFont="1" applyFill="1" applyAlignment="1">
      <alignment horizontal="center"/>
    </xf>
    <xf numFmtId="0" fontId="9" fillId="2" borderId="0" xfId="0" applyNumberFormat="1" applyFont="1" applyFill="1" applyAlignment="1">
      <alignment horizontal="center"/>
    </xf>
    <xf numFmtId="14" fontId="9" fillId="3" borderId="0" xfId="0" applyNumberFormat="1" applyFont="1" applyFill="1" applyAlignment="1">
      <alignment horizontal="center"/>
    </xf>
    <xf numFmtId="0" fontId="9" fillId="3" borderId="0" xfId="0" applyNumberFormat="1" applyFont="1" applyFill="1" applyAlignment="1">
      <alignment horizontal="center"/>
    </xf>
    <xf numFmtId="0" fontId="9" fillId="0" borderId="16" xfId="0" applyFont="1" applyBorder="1"/>
    <xf numFmtId="0" fontId="11" fillId="3" borderId="15" xfId="0" applyFont="1" applyFill="1" applyBorder="1"/>
    <xf numFmtId="0" fontId="11" fillId="3" borderId="15" xfId="0" applyFont="1" applyFill="1" applyBorder="1" applyAlignment="1">
      <alignment horizontal="center"/>
    </xf>
    <xf numFmtId="2" fontId="9" fillId="0" borderId="15" xfId="0" applyNumberFormat="1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5" xfId="0" applyFont="1" applyBorder="1" applyAlignment="1">
      <alignment horizontal="left" vertical="center" wrapText="1"/>
    </xf>
    <xf numFmtId="0" fontId="9" fillId="0" borderId="7" xfId="0" applyFont="1" applyBorder="1" applyAlignment="1">
      <alignment horizontal="left" vertical="center" wrapText="1"/>
    </xf>
    <xf numFmtId="0" fontId="11" fillId="3" borderId="12" xfId="0" applyFont="1" applyFill="1" applyBorder="1" applyAlignment="1">
      <alignment horizontal="left" vertical="center"/>
    </xf>
    <xf numFmtId="0" fontId="11" fillId="3" borderId="5" xfId="0" applyFont="1" applyFill="1" applyBorder="1" applyAlignment="1">
      <alignment horizontal="left" vertical="center"/>
    </xf>
    <xf numFmtId="0" fontId="11" fillId="3" borderId="7" xfId="0" applyFont="1" applyFill="1" applyBorder="1" applyAlignment="1">
      <alignment horizontal="left" vertical="center"/>
    </xf>
    <xf numFmtId="0" fontId="9" fillId="0" borderId="8" xfId="0" applyFont="1" applyBorder="1" applyAlignment="1">
      <alignment horizontal="left"/>
    </xf>
    <xf numFmtId="0" fontId="9" fillId="0" borderId="6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9" fillId="0" borderId="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13" fillId="3" borderId="0" xfId="3" applyFont="1" applyFill="1" applyAlignment="1">
      <alignment horizontal="center" vertical="center" textRotation="255"/>
    </xf>
    <xf numFmtId="0" fontId="16" fillId="6" borderId="1" xfId="0" applyFont="1" applyFill="1" applyBorder="1" applyAlignment="1">
      <alignment horizontal="center"/>
    </xf>
    <xf numFmtId="0" fontId="16" fillId="6" borderId="2" xfId="0" applyFont="1" applyFill="1" applyBorder="1" applyAlignment="1">
      <alignment horizontal="center"/>
    </xf>
    <xf numFmtId="0" fontId="16" fillId="6" borderId="3" xfId="0" applyFont="1" applyFill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7" borderId="2" xfId="0" applyFont="1" applyFill="1" applyBorder="1" applyAlignment="1">
      <alignment horizontal="center"/>
    </xf>
    <xf numFmtId="0" fontId="16" fillId="7" borderId="3" xfId="0" applyFont="1" applyFill="1" applyBorder="1" applyAlignment="1">
      <alignment horizontal="center"/>
    </xf>
    <xf numFmtId="0" fontId="13" fillId="3" borderId="0" xfId="0" applyFont="1" applyFill="1" applyAlignment="1">
      <alignment horizontal="center"/>
    </xf>
    <xf numFmtId="0" fontId="16" fillId="4" borderId="1" xfId="0" applyFont="1" applyFill="1" applyBorder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16" fillId="4" borderId="3" xfId="0" applyFont="1" applyFill="1" applyBorder="1" applyAlignment="1">
      <alignment horizontal="center"/>
    </xf>
    <xf numFmtId="0" fontId="16" fillId="5" borderId="1" xfId="0" applyFont="1" applyFill="1" applyBorder="1" applyAlignment="1">
      <alignment horizontal="center"/>
    </xf>
    <xf numFmtId="0" fontId="16" fillId="5" borderId="2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1" fillId="3" borderId="12" xfId="0" applyFont="1" applyFill="1" applyBorder="1" applyAlignment="1">
      <alignment horizontal="center"/>
    </xf>
    <xf numFmtId="0" fontId="11" fillId="3" borderId="5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/>
    </xf>
    <xf numFmtId="0" fontId="9" fillId="0" borderId="12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9" fillId="0" borderId="7" xfId="0" applyFont="1" applyBorder="1" applyAlignment="1">
      <alignment horizontal="left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22" fillId="3" borderId="0" xfId="0" applyFont="1" applyFill="1" applyAlignment="1">
      <alignment horizontal="center"/>
    </xf>
    <xf numFmtId="0" fontId="23" fillId="3" borderId="0" xfId="0" applyFont="1" applyFill="1" applyAlignment="1">
      <alignment horizontal="center"/>
    </xf>
    <xf numFmtId="0" fontId="24" fillId="3" borderId="0" xfId="0" applyFont="1" applyFill="1" applyAlignment="1">
      <alignment horizontal="center"/>
    </xf>
    <xf numFmtId="0" fontId="22" fillId="3" borderId="0" xfId="0" applyNumberFormat="1" applyFont="1" applyFill="1" applyAlignment="1">
      <alignment horizontal="center"/>
    </xf>
    <xf numFmtId="0" fontId="21" fillId="0" borderId="0" xfId="0" applyNumberFormat="1" applyFont="1" applyFill="1" applyAlignment="1">
      <alignment horizontal="center"/>
    </xf>
    <xf numFmtId="0" fontId="21" fillId="0" borderId="0" xfId="0" applyFont="1" applyFill="1" applyAlignment="1">
      <alignment horizontal="center"/>
    </xf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1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Bahnschrift Light"/>
        <family val="2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font>
        <b/>
      </font>
    </dxf>
    <dxf>
      <font>
        <color theme="0"/>
      </font>
    </dxf>
    <dxf>
      <fill>
        <patternFill patternType="solid">
          <bgColor rgb="FFC00000"/>
        </patternFill>
      </fill>
    </dxf>
    <dxf>
      <font>
        <b val="0"/>
      </font>
    </dxf>
    <dxf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</font>
    </dxf>
    <dxf>
      <fill>
        <patternFill patternType="solid">
          <bgColor rgb="FFC0000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12"/>
      </font>
    </dxf>
    <dxf>
      <font>
        <name val="Bahnschrift Light"/>
        <scheme val="none"/>
      </font>
    </dxf>
    <dxf>
      <alignment horizontal="center"/>
    </dxf>
    <dxf>
      <font>
        <b val="0"/>
      </font>
    </dxf>
    <dxf>
      <fill>
        <patternFill patternType="none">
          <bgColor auto="1"/>
        </patternFill>
      </fill>
    </dxf>
    <dxf>
      <font>
        <color auto="1"/>
      </font>
    </dxf>
    <dxf>
      <font>
        <b/>
      </font>
    </dxf>
    <dxf>
      <font>
        <b/>
      </font>
    </dxf>
    <dxf>
      <font>
        <sz val="11"/>
      </font>
    </dxf>
    <dxf>
      <font>
        <b val="0"/>
      </font>
    </dxf>
    <dxf>
      <font>
        <color rgb="FFC0000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auto="1"/>
      </font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rgb="FFC00000"/>
        </patternFill>
      </fill>
    </dxf>
    <dxf>
      <fill>
        <patternFill patternType="solid">
          <bgColor rgb="FFC00000"/>
        </patternFill>
      </fill>
    </dxf>
    <dxf>
      <fill>
        <patternFill patternType="solid">
          <bgColor rgb="FFC00000"/>
        </patternFill>
      </fill>
    </dxf>
    <dxf>
      <fill>
        <patternFill patternType="solid"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Bahnschrift Light Condensed"/>
        <family val="2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numFmt numFmtId="11" formatCode="&quot;R$&quot;\ #,##0.00;\-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numFmt numFmtId="11" formatCode="&quot;R$&quot;\ #,##0.00;\-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numFmt numFmtId="11" formatCode="&quot;R$&quot;\ #,##0.00;\-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numFmt numFmtId="11" formatCode="&quot;R$&quot;\ #,##0.00;\-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numFmt numFmtId="11" formatCode="&quot;R$&quot;\ #,##0.00;\-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numFmt numFmtId="11" formatCode="&quot;R$&quot;\ #,##0.00;\-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Bahnschrift Light"/>
        <family val="2"/>
        <scheme val="none"/>
      </font>
      <fill>
        <patternFill patternType="solid">
          <fgColor indexed="64"/>
          <bgColor rgb="FFC00000"/>
        </patternFill>
      </fill>
      <alignment horizontal="center" vertical="center" textRotation="0" wrapText="1" indent="0" justifyLastLine="0" shrinkToFit="0" readingOrder="0"/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Bahnschrift Light"/>
        <family val="2"/>
        <scheme val="none"/>
      </font>
      <fill>
        <patternFill patternType="solid">
          <fgColor indexed="64"/>
          <bgColor rgb="FFC00000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Bahnschrift Light"/>
        <family val="2"/>
        <scheme val="none"/>
      </font>
      <fill>
        <patternFill patternType="solid">
          <fgColor indexed="64"/>
          <bgColor rgb="FFC0000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Bahnschrift Light Condensed"/>
        <family val="2"/>
        <scheme val="none"/>
      </font>
      <fill>
        <patternFill patternType="solid">
          <fgColor indexed="64"/>
          <bgColor rgb="FFC0000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fill>
        <patternFill patternType="solid">
          <fgColor indexed="64"/>
          <bgColor rgb="FFC00000"/>
        </patternFill>
      </fill>
    </dxf>
    <dxf>
      <font>
        <strike val="0"/>
        <outline val="0"/>
        <shadow val="0"/>
        <vertAlign val="baseline"/>
        <color auto="1"/>
        <name val="Bahnschrift Light Condensed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numFmt numFmtId="164" formatCode="00000&quot;-&quot;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Light Condensed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Bahnschrift Light Condensed"/>
        <family val="2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0000"/>
      <color rgb="FF008000"/>
      <color rgb="FFFF6600"/>
      <color rgb="FFFF3300"/>
      <color rgb="FFFFFF00"/>
      <color rgb="FF66FF66"/>
      <color rgb="FF33CC33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66593682781093"/>
          <c:y val="1.2602351268987665E-2"/>
          <c:w val="0.47649115129667413"/>
          <c:h val="0.84797554351977933"/>
        </c:manualLayout>
      </c:layout>
      <c:doughnutChart>
        <c:varyColors val="1"/>
        <c:ser>
          <c:idx val="0"/>
          <c:order val="0"/>
          <c:explosion val="1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9701-4B45-A26A-89EABD52D594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701-4B45-A26A-89EABD52D594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9701-4B45-A26A-89EABD52D594}"/>
              </c:ext>
            </c:extLst>
          </c:dPt>
          <c:dLbls>
            <c:spPr>
              <a:solidFill>
                <a:sysClr val="windowText" lastClr="000000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Calculos!$C$9:$E$9</c:f>
              <c:strCache>
                <c:ptCount val="3"/>
                <c:pt idx="0">
                  <c:v>Realizado</c:v>
                </c:pt>
                <c:pt idx="1">
                  <c:v>Em andamento</c:v>
                </c:pt>
                <c:pt idx="2">
                  <c:v>Pendente</c:v>
                </c:pt>
              </c:strCache>
            </c:strRef>
          </c:cat>
          <c:val>
            <c:numRef>
              <c:f>Calculos!$C$10:$E$10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01-4B45-A26A-89EABD52D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763243987353493"/>
          <c:y val="0.88981225905953609"/>
          <c:w val="0.62346054982229493"/>
          <c:h val="9.25403457276025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'Ação Plan x Realiz'!$B$9</c:f>
              <c:strCache>
                <c:ptCount val="1"/>
                <c:pt idx="0">
                  <c:v>Planejado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'Ação Plan x Realiz'!$C$8:$N$8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'Ação Plan x Realiz'!$C$9:$N$9</c:f>
              <c:numCache>
                <c:formatCode>General</c:formatCode>
                <c:ptCount val="12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68-482B-A1A8-04324785AC14}"/>
            </c:ext>
          </c:extLst>
        </c:ser>
        <c:ser>
          <c:idx val="1"/>
          <c:order val="1"/>
          <c:tx>
            <c:strRef>
              <c:f>'Ação Plan x Realiz'!$B$10</c:f>
              <c:strCache>
                <c:ptCount val="1"/>
                <c:pt idx="0">
                  <c:v>Realizado</c:v>
                </c:pt>
              </c:strCache>
            </c:strRef>
          </c:tx>
          <c:spPr>
            <a:ln w="28575" cap="sq">
              <a:solidFill>
                <a:srgbClr val="C00000">
                  <a:alpha val="99000"/>
                </a:srgbClr>
              </a:solidFill>
              <a:bevel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solidFill>
                <a:srgbClr val="C0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'Ação Plan x Realiz'!$C$8:$N$8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'Ação Plan x Realiz'!$C$10:$N$10</c:f>
              <c:numCache>
                <c:formatCode>General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68-482B-A1A8-04324785AC1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80057759"/>
        <c:axId val="1910522575"/>
      </c:lineChart>
      <c:catAx>
        <c:axId val="2080057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ysClr val="window" lastClr="FFFFFF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pt-BR"/>
          </a:p>
        </c:txPr>
        <c:crossAx val="1910522575"/>
        <c:crosses val="autoZero"/>
        <c:auto val="1"/>
        <c:lblAlgn val="ctr"/>
        <c:lblOffset val="100"/>
        <c:noMultiLvlLbl val="0"/>
      </c:catAx>
      <c:valAx>
        <c:axId val="1910522575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080057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[Gerenciamento de Atividades.xlsm]Ação x PETiano!Tabela dinâmica2</c:name>
    <c:fmtId val="5"/>
  </c:pivotSource>
  <c:chart>
    <c:autoTitleDeleted val="0"/>
    <c:pivotFmts>
      <c:pivotFmt>
        <c:idx val="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Text" lastClr="000000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Text" lastClr="000000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Text" lastClr="000000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Text" lastClr="000000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Text" lastClr="000000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Text" lastClr="000000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Text" lastClr="000000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Text" lastClr="000000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Text" lastClr="000000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6519545835213709"/>
          <c:y val="0.21095338944700878"/>
          <c:w val="0.80385300479096"/>
          <c:h val="0.65853091280256637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'Ação x PETiano'!$I$13:$I$14</c:f>
              <c:strCache>
                <c:ptCount val="1"/>
                <c:pt idx="0">
                  <c:v>Em andamento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'Ação x PETiano'!$H$15:$H$19</c:f>
              <c:strCache>
                <c:ptCount val="4"/>
                <c:pt idx="0">
                  <c:v>Beatriz</c:v>
                </c:pt>
                <c:pt idx="1">
                  <c:v>Bianca</c:v>
                </c:pt>
                <c:pt idx="2">
                  <c:v>Nayanne</c:v>
                </c:pt>
                <c:pt idx="3">
                  <c:v>Victor</c:v>
                </c:pt>
              </c:strCache>
            </c:strRef>
          </c:cat>
          <c:val>
            <c:numRef>
              <c:f>'Ação x PETiano'!$I$15:$I$19</c:f>
              <c:numCache>
                <c:formatCode>General</c:formatCode>
                <c:ptCount val="4"/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EE-49B6-B2E5-A1479D76832A}"/>
            </c:ext>
          </c:extLst>
        </c:ser>
        <c:ser>
          <c:idx val="1"/>
          <c:order val="1"/>
          <c:tx>
            <c:strRef>
              <c:f>'Ação x PETiano'!$J$13:$J$14</c:f>
              <c:strCache>
                <c:ptCount val="1"/>
                <c:pt idx="0">
                  <c:v>Pendente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'Ação x PETiano'!$H$15:$H$19</c:f>
              <c:strCache>
                <c:ptCount val="4"/>
                <c:pt idx="0">
                  <c:v>Beatriz</c:v>
                </c:pt>
                <c:pt idx="1">
                  <c:v>Bianca</c:v>
                </c:pt>
                <c:pt idx="2">
                  <c:v>Nayanne</c:v>
                </c:pt>
                <c:pt idx="3">
                  <c:v>Victor</c:v>
                </c:pt>
              </c:strCache>
            </c:strRef>
          </c:cat>
          <c:val>
            <c:numRef>
              <c:f>'Ação x PETiano'!$J$15:$J$19</c:f>
              <c:numCache>
                <c:formatCode>General</c:formatCode>
                <c:ptCount val="4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EE-49B6-B2E5-A1479D76832A}"/>
            </c:ext>
          </c:extLst>
        </c:ser>
        <c:ser>
          <c:idx val="2"/>
          <c:order val="2"/>
          <c:tx>
            <c:strRef>
              <c:f>'Ação x PETiano'!$K$13:$K$14</c:f>
              <c:strCache>
                <c:ptCount val="1"/>
                <c:pt idx="0">
                  <c:v>Realizada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'Ação x PETiano'!$H$15:$H$19</c:f>
              <c:strCache>
                <c:ptCount val="4"/>
                <c:pt idx="0">
                  <c:v>Beatriz</c:v>
                </c:pt>
                <c:pt idx="1">
                  <c:v>Bianca</c:v>
                </c:pt>
                <c:pt idx="2">
                  <c:v>Nayanne</c:v>
                </c:pt>
                <c:pt idx="3">
                  <c:v>Victor</c:v>
                </c:pt>
              </c:strCache>
            </c:strRef>
          </c:cat>
          <c:val>
            <c:numRef>
              <c:f>'Ação x PETiano'!$K$15:$K$19</c:f>
              <c:numCache>
                <c:formatCode>General</c:formatCode>
                <c:ptCount val="4"/>
                <c:pt idx="1">
                  <c:v>6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EE-49B6-B2E5-A1479D768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36717935"/>
        <c:axId val="1859150767"/>
      </c:barChart>
      <c:catAx>
        <c:axId val="20367179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pt-BR"/>
          </a:p>
        </c:txPr>
        <c:crossAx val="1859150767"/>
        <c:crosses val="autoZero"/>
        <c:auto val="1"/>
        <c:lblAlgn val="ctr"/>
        <c:lblOffset val="100"/>
        <c:noMultiLvlLbl val="0"/>
      </c:catAx>
      <c:valAx>
        <c:axId val="1859150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36717935"/>
        <c:crosses val="autoZero"/>
        <c:crossBetween val="between"/>
      </c:valAx>
      <c:spPr>
        <a:noFill/>
        <a:ln>
          <a:solidFill>
            <a:schemeClr val="bg1"/>
          </a:solidFill>
        </a:ln>
        <a:effectLst/>
      </c:spPr>
    </c:plotArea>
    <c:legend>
      <c:legendPos val="t"/>
      <c:layout>
        <c:manualLayout>
          <c:xMode val="edge"/>
          <c:yMode val="edge"/>
          <c:x val="0.22088622229794691"/>
          <c:y val="2.1106736657917763E-2"/>
          <c:w val="0.2523731186745673"/>
          <c:h val="0.143892992757348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ysClr val="windowText" lastClr="000000"/>
                </a:solidFill>
                <a:latin typeface="League Gothic" panose="00000500000000000000" pitchFamily="50" charset="0"/>
                <a:ea typeface="+mn-ea"/>
                <a:cs typeface="+mn-cs"/>
              </a:defRPr>
            </a:pPr>
            <a:r>
              <a:rPr lang="pt-BR" sz="1800" b="0">
                <a:solidFill>
                  <a:sysClr val="windowText" lastClr="000000"/>
                </a:solidFill>
                <a:latin typeface="League Gothic" panose="00000500000000000000" pitchFamily="50" charset="0"/>
              </a:rPr>
              <a:t>Número de tarefas</a:t>
            </a:r>
            <a:r>
              <a:rPr lang="pt-BR" sz="1800" b="0" baseline="0">
                <a:solidFill>
                  <a:sysClr val="windowText" lastClr="000000"/>
                </a:solidFill>
                <a:latin typeface="League Gothic" panose="00000500000000000000" pitchFamily="50" charset="0"/>
              </a:rPr>
              <a:t> prioritárias</a:t>
            </a:r>
            <a:endParaRPr lang="pt-BR" sz="1800" b="0">
              <a:solidFill>
                <a:sysClr val="windowText" lastClr="000000"/>
              </a:solidFill>
              <a:latin typeface="League Gothic" panose="00000500000000000000" pitchFamily="50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ysClr val="windowText" lastClr="000000"/>
              </a:solidFill>
              <a:latin typeface="League Gothic" panose="00000500000000000000" pitchFamily="50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7070326085782487"/>
          <c:y val="0.14592260189739689"/>
          <c:w val="0.43669701781104525"/>
          <c:h val="0.6824282332225736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6F5-47A9-80BA-8D64AF18E4A5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6F5-47A9-80BA-8D64AF18E4A5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6F5-47A9-80BA-8D64AF18E4A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Calculos!$B$13:$D$13</c:f>
              <c:strCache>
                <c:ptCount val="3"/>
                <c:pt idx="0">
                  <c:v>Alta</c:v>
                </c:pt>
                <c:pt idx="1">
                  <c:v>Média</c:v>
                </c:pt>
                <c:pt idx="2">
                  <c:v>Baixa</c:v>
                </c:pt>
              </c:strCache>
            </c:strRef>
          </c:cat>
          <c:val>
            <c:numRef>
              <c:f>Calculos!$B$14:$D$14</c:f>
              <c:numCache>
                <c:formatCode>General</c:formatCode>
                <c:ptCount val="3"/>
                <c:pt idx="0">
                  <c:v>11</c:v>
                </c:pt>
                <c:pt idx="1">
                  <c:v>6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F5-47A9-80BA-8D64AF18E4A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723707376084169"/>
          <c:y val="0.88363075736876018"/>
          <c:w val="0.30644942967034783"/>
          <c:h val="7.36953788991233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[Gerenciamento de Atividades.xlsm]Dashboard!Tabela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ysClr val="windowText" lastClr="000000"/>
                </a:solidFill>
                <a:latin typeface="League Gothic" panose="00000500000000000000" pitchFamily="50" charset="0"/>
                <a:ea typeface="+mn-ea"/>
                <a:cs typeface="+mn-cs"/>
              </a:defRPr>
            </a:pPr>
            <a:r>
              <a:rPr lang="pt-BR" sz="1800" b="0">
                <a:solidFill>
                  <a:sysClr val="windowText" lastClr="000000"/>
                </a:solidFill>
                <a:latin typeface="League Gothic" panose="00000500000000000000" pitchFamily="50" charset="0"/>
              </a:rPr>
              <a:t>Fluxo de Caixa</a:t>
            </a:r>
          </a:p>
        </c:rich>
      </c:tx>
      <c:layout>
        <c:manualLayout>
          <c:xMode val="edge"/>
          <c:yMode val="edge"/>
          <c:x val="0.40163978608219592"/>
          <c:y val="1.7775552541941048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ysClr val="windowText" lastClr="000000"/>
              </a:solidFill>
              <a:latin typeface="League Gothic" panose="00000500000000000000" pitchFamily="50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2.2705888529202911E-2"/>
          <c:y val="0.26869176108290838"/>
          <c:w val="0.82797859567736443"/>
          <c:h val="0.51101985764557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Dashboard!$J$14</c:f>
              <c:strCache>
                <c:ptCount val="1"/>
                <c:pt idx="0">
                  <c:v>Estimativa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Dashboard!$I$15:$I$18</c:f>
              <c:strCache>
                <c:ptCount val="3"/>
                <c:pt idx="0">
                  <c:v>PET Educa</c:v>
                </c:pt>
                <c:pt idx="1">
                  <c:v>PET nas Escolas</c:v>
                </c:pt>
                <c:pt idx="2">
                  <c:v>Semana Zero</c:v>
                </c:pt>
              </c:strCache>
            </c:strRef>
          </c:cat>
          <c:val>
            <c:numRef>
              <c:f>Dashboard!$J$15:$J$18</c:f>
              <c:numCache>
                <c:formatCode>_("R$"* #,##0.00_);_("R$"* \(#,##0.00\);_("R$"* "-"??_);_(@_)</c:formatCode>
                <c:ptCount val="3"/>
                <c:pt idx="0">
                  <c:v>540</c:v>
                </c:pt>
                <c:pt idx="1">
                  <c:v>1073.5</c:v>
                </c:pt>
                <c:pt idx="2">
                  <c:v>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6-45DC-965E-35637A80F347}"/>
            </c:ext>
          </c:extLst>
        </c:ser>
        <c:ser>
          <c:idx val="1"/>
          <c:order val="1"/>
          <c:tx>
            <c:strRef>
              <c:f>Dashboard!$K$14</c:f>
              <c:strCache>
                <c:ptCount val="1"/>
                <c:pt idx="0">
                  <c:v>Real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Dashboard!$I$15:$I$18</c:f>
              <c:strCache>
                <c:ptCount val="3"/>
                <c:pt idx="0">
                  <c:v>PET Educa</c:v>
                </c:pt>
                <c:pt idx="1">
                  <c:v>PET nas Escolas</c:v>
                </c:pt>
                <c:pt idx="2">
                  <c:v>Semana Zero</c:v>
                </c:pt>
              </c:strCache>
            </c:strRef>
          </c:cat>
          <c:val>
            <c:numRef>
              <c:f>Dashboard!$K$15:$K$18</c:f>
              <c:numCache>
                <c:formatCode>_("R$"* #,##0.00_);_("R$"* \(#,##0.00\);_("R$"* "-"??_);_(@_)</c:formatCode>
                <c:ptCount val="3"/>
                <c:pt idx="0">
                  <c:v>577.5</c:v>
                </c:pt>
                <c:pt idx="1">
                  <c:v>1136.5</c:v>
                </c:pt>
                <c:pt idx="2">
                  <c:v>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26-45DC-965E-35637A80F34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34586271"/>
        <c:axId val="1912071103"/>
      </c:barChart>
      <c:catAx>
        <c:axId val="2034586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pt-BR"/>
          </a:p>
        </c:txPr>
        <c:crossAx val="1912071103"/>
        <c:crosses val="autoZero"/>
        <c:auto val="1"/>
        <c:lblAlgn val="ctr"/>
        <c:lblOffset val="100"/>
        <c:noMultiLvlLbl val="0"/>
      </c:catAx>
      <c:valAx>
        <c:axId val="1912071103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034586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ysClr val="windowText" lastClr="000000"/>
                </a:solidFill>
                <a:latin typeface="League Gothic" panose="00000500000000000000" pitchFamily="50" charset="0"/>
                <a:ea typeface="+mn-ea"/>
                <a:cs typeface="+mn-cs"/>
              </a:defRPr>
            </a:pPr>
            <a:r>
              <a:rPr lang="pt-BR" sz="1800">
                <a:solidFill>
                  <a:sysClr val="windowText" lastClr="000000"/>
                </a:solidFill>
                <a:latin typeface="League Gothic" panose="00000500000000000000" pitchFamily="50" charset="0"/>
              </a:rPr>
              <a:t>Atividades</a:t>
            </a:r>
            <a:r>
              <a:rPr lang="pt-BR" sz="1800" baseline="0">
                <a:solidFill>
                  <a:sysClr val="windowText" lastClr="000000"/>
                </a:solidFill>
                <a:latin typeface="League Gothic" panose="00000500000000000000" pitchFamily="50" charset="0"/>
              </a:rPr>
              <a:t> Planejadas vs Realizadas</a:t>
            </a:r>
            <a:endParaRPr lang="pt-BR" sz="1800">
              <a:solidFill>
                <a:sysClr val="windowText" lastClr="000000"/>
              </a:solidFill>
              <a:latin typeface="League Gothic" panose="00000500000000000000" pitchFamily="50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ysClr val="windowText" lastClr="000000"/>
              </a:solidFill>
              <a:latin typeface="League Gothic" panose="00000500000000000000" pitchFamily="50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7420888013998251"/>
          <c:y val="0.1447648731408574"/>
          <c:w val="0.43213779527559054"/>
          <c:h val="0.7202296587926508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8A5-4553-8CB8-E0CCF3F4BBFF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8A5-4553-8CB8-E0CCF3F4BBFF}"/>
              </c:ext>
            </c:extLst>
          </c:dPt>
          <c:dLbls>
            <c:dLbl>
              <c:idx val="0"/>
              <c:spPr>
                <a:solidFill>
                  <a:sysClr val="windowText" lastClr="000000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Bahnschrift Light" panose="020B0502040204020203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68A5-4553-8CB8-E0CCF3F4BBFF}"/>
                </c:ext>
              </c:extLst>
            </c:dLbl>
            <c:dLbl>
              <c:idx val="1"/>
              <c:spPr>
                <a:solidFill>
                  <a:sysClr val="windowText" lastClr="000000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Bahnschrift Light" panose="020B0502040204020203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2-68A5-4553-8CB8-E0CCF3F4BBFF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Calculos!$B$21:$C$21</c:f>
              <c:strCache>
                <c:ptCount val="2"/>
                <c:pt idx="0">
                  <c:v>Planejadas</c:v>
                </c:pt>
                <c:pt idx="1">
                  <c:v>Realizadas</c:v>
                </c:pt>
              </c:strCache>
            </c:strRef>
          </c:cat>
          <c:val>
            <c:numRef>
              <c:f>Calculos!$B$22:$C$22</c:f>
              <c:numCache>
                <c:formatCode>General</c:formatCode>
                <c:ptCount val="2"/>
                <c:pt idx="0">
                  <c:v>22</c:v>
                </c:pt>
                <c:pt idx="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A5-4553-8CB8-E0CCF3F4B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ysClr val="windowText" lastClr="000000"/>
                </a:solidFill>
                <a:latin typeface="League Gothic" panose="00000500000000000000" pitchFamily="50" charset="0"/>
                <a:ea typeface="+mn-ea"/>
                <a:cs typeface="+mn-cs"/>
              </a:defRPr>
            </a:pPr>
            <a:r>
              <a:rPr lang="pt-BR" sz="1800">
                <a:solidFill>
                  <a:sysClr val="windowText" lastClr="000000"/>
                </a:solidFill>
                <a:latin typeface="League Gothic" panose="00000500000000000000" pitchFamily="50" charset="0"/>
              </a:rPr>
              <a:t>IAA</a:t>
            </a:r>
          </a:p>
        </c:rich>
      </c:tx>
      <c:layout>
        <c:manualLayout>
          <c:xMode val="edge"/>
          <c:yMode val="edge"/>
          <c:x val="0.4789034590807722"/>
          <c:y val="4.28380525896599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ysClr val="windowText" lastClr="000000"/>
              </a:solidFill>
              <a:latin typeface="League Gothic" panose="00000500000000000000" pitchFamily="50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0527586950137501E-2"/>
          <c:y val="0.18092887647747616"/>
          <c:w val="0.93888888888888888"/>
          <c:h val="0.709289271270310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IAA!$J$11</c:f>
              <c:strCache>
                <c:ptCount val="1"/>
                <c:pt idx="0">
                  <c:v>Média da Avaliação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IAA!$C$12:$C$16</c:f>
              <c:strCache>
                <c:ptCount val="5"/>
                <c:pt idx="0">
                  <c:v>PET Educa</c:v>
                </c:pt>
                <c:pt idx="1">
                  <c:v>PET nas Escolas</c:v>
                </c:pt>
                <c:pt idx="2">
                  <c:v>Semana Zero</c:v>
                </c:pt>
                <c:pt idx="3">
                  <c:v>askdsad</c:v>
                </c:pt>
                <c:pt idx="4">
                  <c:v>sds</c:v>
                </c:pt>
              </c:strCache>
            </c:strRef>
          </c:cat>
          <c:val>
            <c:numRef>
              <c:f>IAA!$J$12:$J$16</c:f>
              <c:numCache>
                <c:formatCode>0.00</c:formatCode>
                <c:ptCount val="5"/>
                <c:pt idx="0">
                  <c:v>2.6666666666666665</c:v>
                </c:pt>
                <c:pt idx="1">
                  <c:v>4</c:v>
                </c:pt>
                <c:pt idx="2">
                  <c:v>0.91666666666666663</c:v>
                </c:pt>
                <c:pt idx="3">
                  <c:v>3.5</c:v>
                </c:pt>
                <c:pt idx="4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C4-4D7B-B69E-66E98B23528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8840064"/>
        <c:axId val="478210016"/>
      </c:barChart>
      <c:catAx>
        <c:axId val="42884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pt-BR"/>
          </a:p>
        </c:txPr>
        <c:crossAx val="478210016"/>
        <c:crosses val="autoZero"/>
        <c:auto val="1"/>
        <c:lblAlgn val="ctr"/>
        <c:lblOffset val="100"/>
        <c:noMultiLvlLbl val="0"/>
      </c:catAx>
      <c:valAx>
        <c:axId val="47821001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42884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3" Type="http://schemas.openxmlformats.org/officeDocument/2006/relationships/hyperlink" Target="#Cadastro!A1"/><Relationship Id="rId7" Type="http://schemas.openxmlformats.org/officeDocument/2006/relationships/hyperlink" Target="#'An&#225;lise de SWOT'!A1"/><Relationship Id="rId2" Type="http://schemas.openxmlformats.org/officeDocument/2006/relationships/image" Target="../media/image1.png"/><Relationship Id="rId1" Type="http://schemas.openxmlformats.org/officeDocument/2006/relationships/hyperlink" Target="#In&#237;cio!A1"/><Relationship Id="rId6" Type="http://schemas.openxmlformats.org/officeDocument/2006/relationships/hyperlink" Target="#Dashboard!A1"/><Relationship Id="rId5" Type="http://schemas.openxmlformats.org/officeDocument/2006/relationships/hyperlink" Target="#Relat&#243;rio!A1"/><Relationship Id="rId4" Type="http://schemas.openxmlformats.org/officeDocument/2006/relationships/hyperlink" Target="#'5W2H'!A1"/><Relationship Id="rId9" Type="http://schemas.openxmlformats.org/officeDocument/2006/relationships/hyperlink" Target="https://d.docs.live.net/6f896dc61651df0b/Documentos/Certificado%20Autom&#225;tico.xlsm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13" Type="http://schemas.openxmlformats.org/officeDocument/2006/relationships/hyperlink" Target="#'Obj e Metas'!A1"/><Relationship Id="rId3" Type="http://schemas.openxmlformats.org/officeDocument/2006/relationships/hyperlink" Target="#Membros!A1"/><Relationship Id="rId7" Type="http://schemas.openxmlformats.org/officeDocument/2006/relationships/hyperlink" Target="#'5W2H'!A1"/><Relationship Id="rId12" Type="http://schemas.openxmlformats.org/officeDocument/2006/relationships/hyperlink" Target="#'Id. Organizacional'!A1"/><Relationship Id="rId2" Type="http://schemas.openxmlformats.org/officeDocument/2006/relationships/image" Target="../media/image1.png"/><Relationship Id="rId1" Type="http://schemas.openxmlformats.org/officeDocument/2006/relationships/hyperlink" Target="#In&#237;cio!A1"/><Relationship Id="rId6" Type="http://schemas.openxmlformats.org/officeDocument/2006/relationships/hyperlink" Target="#Cadastro!A1"/><Relationship Id="rId11" Type="http://schemas.openxmlformats.org/officeDocument/2006/relationships/hyperlink" Target="#Indicadores!A1"/><Relationship Id="rId5" Type="http://schemas.openxmlformats.org/officeDocument/2006/relationships/hyperlink" Target="#Comiss&#245;es!A1"/><Relationship Id="rId10" Type="http://schemas.openxmlformats.org/officeDocument/2006/relationships/hyperlink" Target="#'An&#225;lise de SWOT'!A1"/><Relationship Id="rId4" Type="http://schemas.openxmlformats.org/officeDocument/2006/relationships/hyperlink" Target="#Atividade!A1"/><Relationship Id="rId9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5W2H'!A1"/><Relationship Id="rId13" Type="http://schemas.openxmlformats.org/officeDocument/2006/relationships/hyperlink" Target="#'Obj e Metas'!A1"/><Relationship Id="rId3" Type="http://schemas.openxmlformats.org/officeDocument/2006/relationships/hyperlink" Target="#Membros!A1"/><Relationship Id="rId7" Type="http://schemas.openxmlformats.org/officeDocument/2006/relationships/hyperlink" Target="#Cadastro!A1"/><Relationship Id="rId12" Type="http://schemas.openxmlformats.org/officeDocument/2006/relationships/hyperlink" Target="#Indicadores!A1"/><Relationship Id="rId2" Type="http://schemas.openxmlformats.org/officeDocument/2006/relationships/image" Target="../media/image1.png"/><Relationship Id="rId1" Type="http://schemas.openxmlformats.org/officeDocument/2006/relationships/hyperlink" Target="#In&#237;cio!A1"/><Relationship Id="rId6" Type="http://schemas.openxmlformats.org/officeDocument/2006/relationships/hyperlink" Target="#'Id. Organizacional'!A1"/><Relationship Id="rId11" Type="http://schemas.openxmlformats.org/officeDocument/2006/relationships/hyperlink" Target="#'An&#225;lise de SWOT'!A1"/><Relationship Id="rId5" Type="http://schemas.openxmlformats.org/officeDocument/2006/relationships/hyperlink" Target="#Comiss&#245;es!A1"/><Relationship Id="rId10" Type="http://schemas.openxmlformats.org/officeDocument/2006/relationships/hyperlink" Target="#Dashboard!A1"/><Relationship Id="rId4" Type="http://schemas.openxmlformats.org/officeDocument/2006/relationships/hyperlink" Target="#Atividade!A1"/><Relationship Id="rId9" Type="http://schemas.openxmlformats.org/officeDocument/2006/relationships/hyperlink" Target="#Relat&#243;ri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5W2H'!A1"/><Relationship Id="rId13" Type="http://schemas.openxmlformats.org/officeDocument/2006/relationships/hyperlink" Target="#'Obj e Metas'!A1"/><Relationship Id="rId3" Type="http://schemas.openxmlformats.org/officeDocument/2006/relationships/hyperlink" Target="#Membros!A1"/><Relationship Id="rId7" Type="http://schemas.openxmlformats.org/officeDocument/2006/relationships/hyperlink" Target="#Cadastro!A1"/><Relationship Id="rId12" Type="http://schemas.openxmlformats.org/officeDocument/2006/relationships/hyperlink" Target="#Indicadores!A1"/><Relationship Id="rId2" Type="http://schemas.openxmlformats.org/officeDocument/2006/relationships/image" Target="../media/image1.png"/><Relationship Id="rId1" Type="http://schemas.openxmlformats.org/officeDocument/2006/relationships/hyperlink" Target="#In&#237;cio!A1"/><Relationship Id="rId6" Type="http://schemas.openxmlformats.org/officeDocument/2006/relationships/hyperlink" Target="#'Id. Organizacional'!A1"/><Relationship Id="rId11" Type="http://schemas.openxmlformats.org/officeDocument/2006/relationships/hyperlink" Target="#'An&#225;lise de SWOT'!A1"/><Relationship Id="rId5" Type="http://schemas.openxmlformats.org/officeDocument/2006/relationships/hyperlink" Target="#Comiss&#245;es!A1"/><Relationship Id="rId10" Type="http://schemas.openxmlformats.org/officeDocument/2006/relationships/hyperlink" Target="#Dashboard!A1"/><Relationship Id="rId4" Type="http://schemas.openxmlformats.org/officeDocument/2006/relationships/hyperlink" Target="#Atividade!A1"/><Relationship Id="rId9" Type="http://schemas.openxmlformats.org/officeDocument/2006/relationships/hyperlink" Target="#Relat&#243;ri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5W2H'!A1"/><Relationship Id="rId13" Type="http://schemas.openxmlformats.org/officeDocument/2006/relationships/hyperlink" Target="#'Obj e Metas'!A1"/><Relationship Id="rId3" Type="http://schemas.openxmlformats.org/officeDocument/2006/relationships/hyperlink" Target="#Membros!A1"/><Relationship Id="rId7" Type="http://schemas.openxmlformats.org/officeDocument/2006/relationships/hyperlink" Target="#Cadastro!A1"/><Relationship Id="rId12" Type="http://schemas.openxmlformats.org/officeDocument/2006/relationships/hyperlink" Target="#Indicadores!A1"/><Relationship Id="rId2" Type="http://schemas.openxmlformats.org/officeDocument/2006/relationships/image" Target="../media/image1.png"/><Relationship Id="rId1" Type="http://schemas.openxmlformats.org/officeDocument/2006/relationships/hyperlink" Target="#In&#237;cio!A1"/><Relationship Id="rId6" Type="http://schemas.openxmlformats.org/officeDocument/2006/relationships/hyperlink" Target="#'Id. Organizacional'!A1"/><Relationship Id="rId11" Type="http://schemas.openxmlformats.org/officeDocument/2006/relationships/hyperlink" Target="#'An&#225;lise de SWOT'!A1"/><Relationship Id="rId5" Type="http://schemas.openxmlformats.org/officeDocument/2006/relationships/hyperlink" Target="#Comiss&#245;es!A1"/><Relationship Id="rId10" Type="http://schemas.openxmlformats.org/officeDocument/2006/relationships/hyperlink" Target="#Dashboard!A1"/><Relationship Id="rId4" Type="http://schemas.openxmlformats.org/officeDocument/2006/relationships/hyperlink" Target="#Atividade!A1"/><Relationship Id="rId9" Type="http://schemas.openxmlformats.org/officeDocument/2006/relationships/hyperlink" Target="#Relat&#243;ri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13" Type="http://schemas.openxmlformats.org/officeDocument/2006/relationships/hyperlink" Target="#'Obj e Metas'!A1"/><Relationship Id="rId3" Type="http://schemas.openxmlformats.org/officeDocument/2006/relationships/hyperlink" Target="#Membros!A1"/><Relationship Id="rId7" Type="http://schemas.openxmlformats.org/officeDocument/2006/relationships/hyperlink" Target="#'5W2H'!A1"/><Relationship Id="rId12" Type="http://schemas.openxmlformats.org/officeDocument/2006/relationships/hyperlink" Target="#'Id. Organizacional'!A1"/><Relationship Id="rId2" Type="http://schemas.openxmlformats.org/officeDocument/2006/relationships/image" Target="../media/image1.png"/><Relationship Id="rId1" Type="http://schemas.openxmlformats.org/officeDocument/2006/relationships/hyperlink" Target="#In&#237;cio!A1"/><Relationship Id="rId6" Type="http://schemas.openxmlformats.org/officeDocument/2006/relationships/hyperlink" Target="#Cadastro!A1"/><Relationship Id="rId11" Type="http://schemas.openxmlformats.org/officeDocument/2006/relationships/hyperlink" Target="#Indicadores!A1"/><Relationship Id="rId5" Type="http://schemas.openxmlformats.org/officeDocument/2006/relationships/hyperlink" Target="#Comiss&#245;es!A1"/><Relationship Id="rId10" Type="http://schemas.openxmlformats.org/officeDocument/2006/relationships/hyperlink" Target="#'An&#225;lise de SWOT'!A1"/><Relationship Id="rId4" Type="http://schemas.openxmlformats.org/officeDocument/2006/relationships/hyperlink" Target="#Atividade!A1"/><Relationship Id="rId9" Type="http://schemas.openxmlformats.org/officeDocument/2006/relationships/hyperlink" Target="#Dashboard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1"/><Relationship Id="rId3" Type="http://schemas.openxmlformats.org/officeDocument/2006/relationships/hyperlink" Target="#'An&#225;lise de SWOT'!A1"/><Relationship Id="rId7" Type="http://schemas.openxmlformats.org/officeDocument/2006/relationships/hyperlink" Target="#Relat&#243;rio!A1"/><Relationship Id="rId2" Type="http://schemas.openxmlformats.org/officeDocument/2006/relationships/image" Target="../media/image1.png"/><Relationship Id="rId1" Type="http://schemas.openxmlformats.org/officeDocument/2006/relationships/hyperlink" Target="#In&#237;cio!A1"/><Relationship Id="rId6" Type="http://schemas.openxmlformats.org/officeDocument/2006/relationships/hyperlink" Target="#'5W2H'!A1"/><Relationship Id="rId5" Type="http://schemas.openxmlformats.org/officeDocument/2006/relationships/hyperlink" Target="#Cadastro!A1"/><Relationship Id="rId10" Type="http://schemas.openxmlformats.org/officeDocument/2006/relationships/hyperlink" Target="#'Obj e Metas'!A1"/><Relationship Id="rId4" Type="http://schemas.openxmlformats.org/officeDocument/2006/relationships/hyperlink" Target="#Descri&#231;&#227;o!A1"/><Relationship Id="rId9" Type="http://schemas.openxmlformats.org/officeDocument/2006/relationships/hyperlink" Target="#Indicadores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1"/><Relationship Id="rId3" Type="http://schemas.openxmlformats.org/officeDocument/2006/relationships/hyperlink" Target="#'An&#225;lise de SWOT'!A1"/><Relationship Id="rId7" Type="http://schemas.openxmlformats.org/officeDocument/2006/relationships/hyperlink" Target="#Relat&#243;rio!A1"/><Relationship Id="rId2" Type="http://schemas.openxmlformats.org/officeDocument/2006/relationships/image" Target="../media/image1.png"/><Relationship Id="rId1" Type="http://schemas.openxmlformats.org/officeDocument/2006/relationships/hyperlink" Target="#In&#237;cio!A1"/><Relationship Id="rId6" Type="http://schemas.openxmlformats.org/officeDocument/2006/relationships/hyperlink" Target="#'5W2H'!A1"/><Relationship Id="rId5" Type="http://schemas.openxmlformats.org/officeDocument/2006/relationships/hyperlink" Target="#Cadastro!A1"/><Relationship Id="rId10" Type="http://schemas.openxmlformats.org/officeDocument/2006/relationships/hyperlink" Target="#'Obj e Metas'!A1"/><Relationship Id="rId4" Type="http://schemas.openxmlformats.org/officeDocument/2006/relationships/hyperlink" Target="#Descri&#231;&#227;o!A1"/><Relationship Id="rId9" Type="http://schemas.openxmlformats.org/officeDocument/2006/relationships/hyperlink" Target="#Indicadores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1"/><Relationship Id="rId3" Type="http://schemas.openxmlformats.org/officeDocument/2006/relationships/hyperlink" Target="#Objetivos!A1"/><Relationship Id="rId7" Type="http://schemas.openxmlformats.org/officeDocument/2006/relationships/hyperlink" Target="#Relat&#243;rio!A1"/><Relationship Id="rId12" Type="http://schemas.openxmlformats.org/officeDocument/2006/relationships/hyperlink" Target="#Controle!A1"/><Relationship Id="rId2" Type="http://schemas.openxmlformats.org/officeDocument/2006/relationships/image" Target="../media/image1.png"/><Relationship Id="rId1" Type="http://schemas.openxmlformats.org/officeDocument/2006/relationships/hyperlink" Target="#In&#237;cio!A1"/><Relationship Id="rId6" Type="http://schemas.openxmlformats.org/officeDocument/2006/relationships/hyperlink" Target="#'5W2H'!A1"/><Relationship Id="rId11" Type="http://schemas.openxmlformats.org/officeDocument/2006/relationships/hyperlink" Target="#'Obj e Metas'!A1"/><Relationship Id="rId5" Type="http://schemas.openxmlformats.org/officeDocument/2006/relationships/hyperlink" Target="#Cadastro!A1"/><Relationship Id="rId10" Type="http://schemas.openxmlformats.org/officeDocument/2006/relationships/hyperlink" Target="#Indicadores!A1"/><Relationship Id="rId4" Type="http://schemas.openxmlformats.org/officeDocument/2006/relationships/hyperlink" Target="#Metas!A1"/><Relationship Id="rId9" Type="http://schemas.openxmlformats.org/officeDocument/2006/relationships/hyperlink" Target="#'An&#225;lise de SWOT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1"/><Relationship Id="rId3" Type="http://schemas.openxmlformats.org/officeDocument/2006/relationships/hyperlink" Target="#Objetivos!A1"/><Relationship Id="rId7" Type="http://schemas.openxmlformats.org/officeDocument/2006/relationships/hyperlink" Target="#Relat&#243;rio!A1"/><Relationship Id="rId12" Type="http://schemas.openxmlformats.org/officeDocument/2006/relationships/hyperlink" Target="#Controle!A1"/><Relationship Id="rId2" Type="http://schemas.openxmlformats.org/officeDocument/2006/relationships/image" Target="../media/image1.png"/><Relationship Id="rId1" Type="http://schemas.openxmlformats.org/officeDocument/2006/relationships/hyperlink" Target="#In&#237;cio!A1"/><Relationship Id="rId6" Type="http://schemas.openxmlformats.org/officeDocument/2006/relationships/hyperlink" Target="#'5W2H'!A1"/><Relationship Id="rId11" Type="http://schemas.openxmlformats.org/officeDocument/2006/relationships/hyperlink" Target="#'Obj e Metas'!A1"/><Relationship Id="rId5" Type="http://schemas.openxmlformats.org/officeDocument/2006/relationships/hyperlink" Target="#Cadastro!A1"/><Relationship Id="rId10" Type="http://schemas.openxmlformats.org/officeDocument/2006/relationships/hyperlink" Target="#Indicadores!A1"/><Relationship Id="rId4" Type="http://schemas.openxmlformats.org/officeDocument/2006/relationships/hyperlink" Target="#Metas!A1"/><Relationship Id="rId9" Type="http://schemas.openxmlformats.org/officeDocument/2006/relationships/hyperlink" Target="#'An&#225;lise de SWOT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1"/><Relationship Id="rId3" Type="http://schemas.openxmlformats.org/officeDocument/2006/relationships/hyperlink" Target="#Objetivos!A1"/><Relationship Id="rId7" Type="http://schemas.openxmlformats.org/officeDocument/2006/relationships/hyperlink" Target="#Relat&#243;rio!A1"/><Relationship Id="rId12" Type="http://schemas.openxmlformats.org/officeDocument/2006/relationships/hyperlink" Target="#Controle!A1"/><Relationship Id="rId2" Type="http://schemas.openxmlformats.org/officeDocument/2006/relationships/image" Target="../media/image1.png"/><Relationship Id="rId1" Type="http://schemas.openxmlformats.org/officeDocument/2006/relationships/hyperlink" Target="#In&#237;cio!A1"/><Relationship Id="rId6" Type="http://schemas.openxmlformats.org/officeDocument/2006/relationships/hyperlink" Target="#'5W2H'!A1"/><Relationship Id="rId11" Type="http://schemas.openxmlformats.org/officeDocument/2006/relationships/hyperlink" Target="#'Obj e Metas'!A1"/><Relationship Id="rId5" Type="http://schemas.openxmlformats.org/officeDocument/2006/relationships/hyperlink" Target="#Cadastro!A1"/><Relationship Id="rId10" Type="http://schemas.openxmlformats.org/officeDocument/2006/relationships/hyperlink" Target="#Indicadores!A1"/><Relationship Id="rId4" Type="http://schemas.openxmlformats.org/officeDocument/2006/relationships/hyperlink" Target="#Metas!A1"/><Relationship Id="rId9" Type="http://schemas.openxmlformats.org/officeDocument/2006/relationships/hyperlink" Target="#'An&#225;lise de SWOT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1"/><Relationship Id="rId3" Type="http://schemas.openxmlformats.org/officeDocument/2006/relationships/hyperlink" Target="#Objetivos!A1"/><Relationship Id="rId7" Type="http://schemas.openxmlformats.org/officeDocument/2006/relationships/hyperlink" Target="#Relat&#243;rio!A1"/><Relationship Id="rId12" Type="http://schemas.openxmlformats.org/officeDocument/2006/relationships/hyperlink" Target="#Controle!A1"/><Relationship Id="rId2" Type="http://schemas.openxmlformats.org/officeDocument/2006/relationships/image" Target="../media/image1.png"/><Relationship Id="rId1" Type="http://schemas.openxmlformats.org/officeDocument/2006/relationships/hyperlink" Target="#In&#237;cio!A1"/><Relationship Id="rId6" Type="http://schemas.openxmlformats.org/officeDocument/2006/relationships/hyperlink" Target="#'5W2H'!A1"/><Relationship Id="rId11" Type="http://schemas.openxmlformats.org/officeDocument/2006/relationships/hyperlink" Target="#'Obj e Metas'!A1"/><Relationship Id="rId5" Type="http://schemas.openxmlformats.org/officeDocument/2006/relationships/hyperlink" Target="#Cadastro!A1"/><Relationship Id="rId10" Type="http://schemas.openxmlformats.org/officeDocument/2006/relationships/hyperlink" Target="#Indicadores!A1"/><Relationship Id="rId4" Type="http://schemas.openxmlformats.org/officeDocument/2006/relationships/hyperlink" Target="#Metas!A1"/><Relationship Id="rId9" Type="http://schemas.openxmlformats.org/officeDocument/2006/relationships/hyperlink" Target="#'An&#225;lise de SWOT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3" Type="http://schemas.openxmlformats.org/officeDocument/2006/relationships/hyperlink" Target="#Cadastro!A1"/><Relationship Id="rId7" Type="http://schemas.openxmlformats.org/officeDocument/2006/relationships/hyperlink" Target="#'An&#225;lise de SWOT'!A1"/><Relationship Id="rId2" Type="http://schemas.openxmlformats.org/officeDocument/2006/relationships/image" Target="../media/image1.png"/><Relationship Id="rId1" Type="http://schemas.openxmlformats.org/officeDocument/2006/relationships/hyperlink" Target="#In&#237;cio!A1"/><Relationship Id="rId6" Type="http://schemas.openxmlformats.org/officeDocument/2006/relationships/hyperlink" Target="#Dashboard!A1"/><Relationship Id="rId5" Type="http://schemas.openxmlformats.org/officeDocument/2006/relationships/hyperlink" Target="#Relat&#243;rio!A1"/><Relationship Id="rId4" Type="http://schemas.openxmlformats.org/officeDocument/2006/relationships/hyperlink" Target="#'5W2H'!A1"/><Relationship Id="rId9" Type="http://schemas.openxmlformats.org/officeDocument/2006/relationships/hyperlink" Target="#'Obj e Metas'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3" Type="http://schemas.openxmlformats.org/officeDocument/2006/relationships/hyperlink" Target="#Acompanhamento!A1"/><Relationship Id="rId7" Type="http://schemas.openxmlformats.org/officeDocument/2006/relationships/hyperlink" Target="#'5W2H'!A1"/><Relationship Id="rId12" Type="http://schemas.openxmlformats.org/officeDocument/2006/relationships/hyperlink" Target="#'Obj e Metas'!A1"/><Relationship Id="rId2" Type="http://schemas.openxmlformats.org/officeDocument/2006/relationships/image" Target="../media/image1.png"/><Relationship Id="rId1" Type="http://schemas.openxmlformats.org/officeDocument/2006/relationships/hyperlink" Target="#In&#237;cio!A1"/><Relationship Id="rId6" Type="http://schemas.openxmlformats.org/officeDocument/2006/relationships/hyperlink" Target="#Cadastro!A1"/><Relationship Id="rId11" Type="http://schemas.openxmlformats.org/officeDocument/2006/relationships/hyperlink" Target="#Indicadores!A1"/><Relationship Id="rId5" Type="http://schemas.openxmlformats.org/officeDocument/2006/relationships/hyperlink" Target="#'A&#231;&#227;o Plan x Realiz'!A1"/><Relationship Id="rId10" Type="http://schemas.openxmlformats.org/officeDocument/2006/relationships/hyperlink" Target="#'An&#225;lise de SWOT'!A1"/><Relationship Id="rId4" Type="http://schemas.openxmlformats.org/officeDocument/2006/relationships/hyperlink" Target="#'A&#231;&#227;o x PETiano'!A1"/><Relationship Id="rId9" Type="http://schemas.openxmlformats.org/officeDocument/2006/relationships/hyperlink" Target="#Dashboard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'5W2H'!A1"/><Relationship Id="rId13" Type="http://schemas.openxmlformats.org/officeDocument/2006/relationships/hyperlink" Target="#'Obj e Metas'!A1"/><Relationship Id="rId3" Type="http://schemas.openxmlformats.org/officeDocument/2006/relationships/hyperlink" Target="#Acompanhamento!A1"/><Relationship Id="rId7" Type="http://schemas.openxmlformats.org/officeDocument/2006/relationships/hyperlink" Target="#Cadastro!A1"/><Relationship Id="rId12" Type="http://schemas.openxmlformats.org/officeDocument/2006/relationships/hyperlink" Target="#Indicadores!A1"/><Relationship Id="rId2" Type="http://schemas.openxmlformats.org/officeDocument/2006/relationships/image" Target="../media/image1.png"/><Relationship Id="rId1" Type="http://schemas.openxmlformats.org/officeDocument/2006/relationships/hyperlink" Target="#In&#237;cio!A1"/><Relationship Id="rId6" Type="http://schemas.openxmlformats.org/officeDocument/2006/relationships/chart" Target="../charts/chart1.xml"/><Relationship Id="rId11" Type="http://schemas.openxmlformats.org/officeDocument/2006/relationships/hyperlink" Target="#'An&#225;lise de SWOT'!A1"/><Relationship Id="rId5" Type="http://schemas.openxmlformats.org/officeDocument/2006/relationships/hyperlink" Target="#'A&#231;&#227;o Plan x Realiz'!A1"/><Relationship Id="rId10" Type="http://schemas.openxmlformats.org/officeDocument/2006/relationships/hyperlink" Target="#Dashboard!A1"/><Relationship Id="rId4" Type="http://schemas.openxmlformats.org/officeDocument/2006/relationships/hyperlink" Target="#'A&#231;&#227;o x PETiano'!A1"/><Relationship Id="rId9" Type="http://schemas.openxmlformats.org/officeDocument/2006/relationships/hyperlink" Target="#Relat&#243;rio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'5W2H'!A1"/><Relationship Id="rId13" Type="http://schemas.openxmlformats.org/officeDocument/2006/relationships/hyperlink" Target="#'Obj e Metas'!A1"/><Relationship Id="rId3" Type="http://schemas.openxmlformats.org/officeDocument/2006/relationships/hyperlink" Target="#Acompanhamento!A1"/><Relationship Id="rId7" Type="http://schemas.openxmlformats.org/officeDocument/2006/relationships/hyperlink" Target="#Cadastro!A1"/><Relationship Id="rId12" Type="http://schemas.openxmlformats.org/officeDocument/2006/relationships/hyperlink" Target="#Indicadores!A1"/><Relationship Id="rId2" Type="http://schemas.openxmlformats.org/officeDocument/2006/relationships/image" Target="../media/image1.png"/><Relationship Id="rId1" Type="http://schemas.openxmlformats.org/officeDocument/2006/relationships/hyperlink" Target="#In&#237;cio!A1"/><Relationship Id="rId6" Type="http://schemas.openxmlformats.org/officeDocument/2006/relationships/chart" Target="../charts/chart2.xml"/><Relationship Id="rId11" Type="http://schemas.openxmlformats.org/officeDocument/2006/relationships/hyperlink" Target="#'An&#225;lise de SWOT'!A1"/><Relationship Id="rId5" Type="http://schemas.openxmlformats.org/officeDocument/2006/relationships/hyperlink" Target="#'A&#231;&#227;o Plan x Realiz'!A1"/><Relationship Id="rId10" Type="http://schemas.openxmlformats.org/officeDocument/2006/relationships/hyperlink" Target="#Dashboard!A1"/><Relationship Id="rId4" Type="http://schemas.openxmlformats.org/officeDocument/2006/relationships/hyperlink" Target="#'A&#231;&#227;o x PETiano'!A1"/><Relationship Id="rId9" Type="http://schemas.openxmlformats.org/officeDocument/2006/relationships/hyperlink" Target="#Relat&#243;rio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5W2H'!A1"/><Relationship Id="rId13" Type="http://schemas.openxmlformats.org/officeDocument/2006/relationships/hyperlink" Target="#'Obj e Metas'!A1"/><Relationship Id="rId3" Type="http://schemas.openxmlformats.org/officeDocument/2006/relationships/image" Target="../media/image1.png"/><Relationship Id="rId7" Type="http://schemas.openxmlformats.org/officeDocument/2006/relationships/hyperlink" Target="#Cadastro!A1"/><Relationship Id="rId12" Type="http://schemas.openxmlformats.org/officeDocument/2006/relationships/hyperlink" Target="#Indicadores!A1"/><Relationship Id="rId2" Type="http://schemas.openxmlformats.org/officeDocument/2006/relationships/hyperlink" Target="#In&#237;cio!A1"/><Relationship Id="rId1" Type="http://schemas.openxmlformats.org/officeDocument/2006/relationships/chart" Target="../charts/chart3.xml"/><Relationship Id="rId6" Type="http://schemas.openxmlformats.org/officeDocument/2006/relationships/hyperlink" Target="#'A&#231;&#227;o Plan x Realiz'!A1"/><Relationship Id="rId11" Type="http://schemas.openxmlformats.org/officeDocument/2006/relationships/hyperlink" Target="#'An&#225;lise de SWOT'!A1"/><Relationship Id="rId5" Type="http://schemas.openxmlformats.org/officeDocument/2006/relationships/hyperlink" Target="#'A&#231;&#227;o x PETiano'!A1"/><Relationship Id="rId10" Type="http://schemas.openxmlformats.org/officeDocument/2006/relationships/hyperlink" Target="#Dashboard!A1"/><Relationship Id="rId4" Type="http://schemas.openxmlformats.org/officeDocument/2006/relationships/hyperlink" Target="#Acompanhamento!A1"/><Relationship Id="rId9" Type="http://schemas.openxmlformats.org/officeDocument/2006/relationships/hyperlink" Target="#Relat&#243;rio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1"/><Relationship Id="rId13" Type="http://schemas.openxmlformats.org/officeDocument/2006/relationships/chart" Target="../charts/chart7.xml"/><Relationship Id="rId3" Type="http://schemas.openxmlformats.org/officeDocument/2006/relationships/chart" Target="../charts/chart4.xml"/><Relationship Id="rId7" Type="http://schemas.openxmlformats.org/officeDocument/2006/relationships/hyperlink" Target="#Relat&#243;rio!A1"/><Relationship Id="rId12" Type="http://schemas.openxmlformats.org/officeDocument/2006/relationships/chart" Target="../charts/chart6.xml"/><Relationship Id="rId2" Type="http://schemas.openxmlformats.org/officeDocument/2006/relationships/image" Target="../media/image1.png"/><Relationship Id="rId1" Type="http://schemas.openxmlformats.org/officeDocument/2006/relationships/hyperlink" Target="#In&#237;cio!A1"/><Relationship Id="rId6" Type="http://schemas.openxmlformats.org/officeDocument/2006/relationships/hyperlink" Target="#'5W2H'!A1"/><Relationship Id="rId11" Type="http://schemas.openxmlformats.org/officeDocument/2006/relationships/hyperlink" Target="#'Obj e Metas'!A1"/><Relationship Id="rId5" Type="http://schemas.openxmlformats.org/officeDocument/2006/relationships/hyperlink" Target="#Cadastro!A1"/><Relationship Id="rId10" Type="http://schemas.openxmlformats.org/officeDocument/2006/relationships/hyperlink" Target="#Indicadores!A1"/><Relationship Id="rId4" Type="http://schemas.openxmlformats.org/officeDocument/2006/relationships/chart" Target="../charts/chart5.xml"/><Relationship Id="rId9" Type="http://schemas.openxmlformats.org/officeDocument/2006/relationships/hyperlink" Target="#'An&#225;lise de SWOT'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1"/><Relationship Id="rId3" Type="http://schemas.openxmlformats.org/officeDocument/2006/relationships/hyperlink" Target="#IAA!A1"/><Relationship Id="rId7" Type="http://schemas.openxmlformats.org/officeDocument/2006/relationships/hyperlink" Target="#Relat&#243;rio!A1"/><Relationship Id="rId2" Type="http://schemas.openxmlformats.org/officeDocument/2006/relationships/image" Target="../media/image1.png"/><Relationship Id="rId1" Type="http://schemas.openxmlformats.org/officeDocument/2006/relationships/hyperlink" Target="#In&#237;cio!A1"/><Relationship Id="rId6" Type="http://schemas.openxmlformats.org/officeDocument/2006/relationships/hyperlink" Target="#'5W2H'!A1"/><Relationship Id="rId11" Type="http://schemas.openxmlformats.org/officeDocument/2006/relationships/hyperlink" Target="#'Obj e Metas'!A1"/><Relationship Id="rId5" Type="http://schemas.openxmlformats.org/officeDocument/2006/relationships/hyperlink" Target="#Cadastro!A1"/><Relationship Id="rId10" Type="http://schemas.openxmlformats.org/officeDocument/2006/relationships/hyperlink" Target="#Indicadores!A1"/><Relationship Id="rId4" Type="http://schemas.openxmlformats.org/officeDocument/2006/relationships/hyperlink" Target="#Turnover!A1"/><Relationship Id="rId9" Type="http://schemas.openxmlformats.org/officeDocument/2006/relationships/hyperlink" Target="#'An&#225;lise de SWOT'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3" Type="http://schemas.openxmlformats.org/officeDocument/2006/relationships/image" Target="../media/image1.png"/><Relationship Id="rId7" Type="http://schemas.openxmlformats.org/officeDocument/2006/relationships/hyperlink" Target="#'5W2H'!A1"/><Relationship Id="rId12" Type="http://schemas.openxmlformats.org/officeDocument/2006/relationships/hyperlink" Target="#'Obj e Metas'!A1"/><Relationship Id="rId2" Type="http://schemas.openxmlformats.org/officeDocument/2006/relationships/hyperlink" Target="#In&#237;cio!A1"/><Relationship Id="rId1" Type="http://schemas.openxmlformats.org/officeDocument/2006/relationships/hyperlink" Target="#'IAA Infos'!A1"/><Relationship Id="rId6" Type="http://schemas.openxmlformats.org/officeDocument/2006/relationships/hyperlink" Target="#Cadastro!A1"/><Relationship Id="rId11" Type="http://schemas.openxmlformats.org/officeDocument/2006/relationships/hyperlink" Target="#Indicadores!A1"/><Relationship Id="rId5" Type="http://schemas.openxmlformats.org/officeDocument/2006/relationships/hyperlink" Target="#Turnover!A1"/><Relationship Id="rId10" Type="http://schemas.openxmlformats.org/officeDocument/2006/relationships/hyperlink" Target="#'An&#225;lise de SWOT'!A1"/><Relationship Id="rId4" Type="http://schemas.openxmlformats.org/officeDocument/2006/relationships/hyperlink" Target="#IAA!A1"/><Relationship Id="rId9" Type="http://schemas.openxmlformats.org/officeDocument/2006/relationships/hyperlink" Target="#Dashboard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IAA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1"/><Relationship Id="rId3" Type="http://schemas.openxmlformats.org/officeDocument/2006/relationships/hyperlink" Target="#IAA!A1"/><Relationship Id="rId7" Type="http://schemas.openxmlformats.org/officeDocument/2006/relationships/hyperlink" Target="#Relat&#243;rio!A1"/><Relationship Id="rId2" Type="http://schemas.openxmlformats.org/officeDocument/2006/relationships/image" Target="../media/image1.png"/><Relationship Id="rId1" Type="http://schemas.openxmlformats.org/officeDocument/2006/relationships/hyperlink" Target="#In&#237;cio!A1"/><Relationship Id="rId6" Type="http://schemas.openxmlformats.org/officeDocument/2006/relationships/hyperlink" Target="#'5W2H'!A1"/><Relationship Id="rId11" Type="http://schemas.openxmlformats.org/officeDocument/2006/relationships/hyperlink" Target="#'Obj e Metas'!A1"/><Relationship Id="rId5" Type="http://schemas.openxmlformats.org/officeDocument/2006/relationships/hyperlink" Target="#Cadastro!A1"/><Relationship Id="rId10" Type="http://schemas.openxmlformats.org/officeDocument/2006/relationships/hyperlink" Target="#Indicadores!A1"/><Relationship Id="rId4" Type="http://schemas.openxmlformats.org/officeDocument/2006/relationships/hyperlink" Target="#Turnover!A1"/><Relationship Id="rId9" Type="http://schemas.openxmlformats.org/officeDocument/2006/relationships/hyperlink" Target="#'An&#225;lise de SWO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0</xdr:row>
      <xdr:rowOff>190499</xdr:rowOff>
    </xdr:from>
    <xdr:to>
      <xdr:col>11</xdr:col>
      <xdr:colOff>266700</xdr:colOff>
      <xdr:row>12</xdr:row>
      <xdr:rowOff>144386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4720BD2-5537-4D03-AEEB-B8185444E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5850" y="190499"/>
          <a:ext cx="2076450" cy="2239887"/>
        </a:xfrm>
        <a:prstGeom prst="rect">
          <a:avLst/>
        </a:prstGeom>
      </xdr:spPr>
    </xdr:pic>
    <xdr:clientData/>
  </xdr:twoCellAnchor>
  <xdr:twoCellAnchor>
    <xdr:from>
      <xdr:col>1</xdr:col>
      <xdr:colOff>219075</xdr:colOff>
      <xdr:row>13</xdr:row>
      <xdr:rowOff>95249</xdr:rowOff>
    </xdr:from>
    <xdr:to>
      <xdr:col>4</xdr:col>
      <xdr:colOff>257175</xdr:colOff>
      <xdr:row>17</xdr:row>
      <xdr:rowOff>85724</xdr:rowOff>
    </xdr:to>
    <xdr:sp macro="" textlink="">
      <xdr:nvSpPr>
        <xdr:cNvPr id="3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1CFF56-90DA-406A-84AF-5D427CB57DA3}"/>
            </a:ext>
          </a:extLst>
        </xdr:cNvPr>
        <xdr:cNvSpPr/>
      </xdr:nvSpPr>
      <xdr:spPr>
        <a:xfrm>
          <a:off x="828675" y="2571749"/>
          <a:ext cx="1866900" cy="752475"/>
        </a:xfrm>
        <a:prstGeom prst="rect">
          <a:avLst/>
        </a:prstGeom>
        <a:solidFill>
          <a:srgbClr val="002060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softEdge rad="1270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Cadastro</a:t>
          </a:r>
        </a:p>
      </xdr:txBody>
    </xdr:sp>
    <xdr:clientData/>
  </xdr:twoCellAnchor>
  <xdr:twoCellAnchor>
    <xdr:from>
      <xdr:col>8</xdr:col>
      <xdr:colOff>219075</xdr:colOff>
      <xdr:row>13</xdr:row>
      <xdr:rowOff>95249</xdr:rowOff>
    </xdr:from>
    <xdr:to>
      <xdr:col>11</xdr:col>
      <xdr:colOff>247650</xdr:colOff>
      <xdr:row>17</xdr:row>
      <xdr:rowOff>104774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61085A1-55E4-4330-92C8-02BB788E7695}"/>
            </a:ext>
          </a:extLst>
        </xdr:cNvPr>
        <xdr:cNvSpPr/>
      </xdr:nvSpPr>
      <xdr:spPr>
        <a:xfrm>
          <a:off x="5095875" y="2571749"/>
          <a:ext cx="1857375" cy="771525"/>
        </a:xfrm>
        <a:prstGeom prst="rect">
          <a:avLst/>
        </a:prstGeom>
        <a:solidFill>
          <a:srgbClr val="002060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softEdge rad="1270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5W2H</a:t>
          </a:r>
        </a:p>
      </xdr:txBody>
    </xdr:sp>
    <xdr:clientData/>
  </xdr:twoCellAnchor>
  <xdr:twoCellAnchor>
    <xdr:from>
      <xdr:col>15</xdr:col>
      <xdr:colOff>219075</xdr:colOff>
      <xdr:row>13</xdr:row>
      <xdr:rowOff>104774</xdr:rowOff>
    </xdr:from>
    <xdr:to>
      <xdr:col>18</xdr:col>
      <xdr:colOff>266700</xdr:colOff>
      <xdr:row>17</xdr:row>
      <xdr:rowOff>152399</xdr:rowOff>
    </xdr:to>
    <xdr:sp macro="" textlink="">
      <xdr:nvSpPr>
        <xdr:cNvPr id="5" name="Retâ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F7B290D-AF11-48F9-BA04-66380E267A16}"/>
            </a:ext>
          </a:extLst>
        </xdr:cNvPr>
        <xdr:cNvSpPr/>
      </xdr:nvSpPr>
      <xdr:spPr>
        <a:xfrm>
          <a:off x="9363075" y="2581274"/>
          <a:ext cx="1876425" cy="809625"/>
        </a:xfrm>
        <a:prstGeom prst="rect">
          <a:avLst/>
        </a:prstGeom>
        <a:solidFill>
          <a:srgbClr val="002060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softEdge rad="1270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Relatórios</a:t>
          </a:r>
        </a:p>
      </xdr:txBody>
    </xdr:sp>
    <xdr:clientData/>
  </xdr:twoCellAnchor>
  <xdr:twoCellAnchor>
    <xdr:from>
      <xdr:col>6</xdr:col>
      <xdr:colOff>238125</xdr:colOff>
      <xdr:row>19</xdr:row>
      <xdr:rowOff>180975</xdr:rowOff>
    </xdr:from>
    <xdr:to>
      <xdr:col>9</xdr:col>
      <xdr:colOff>285750</xdr:colOff>
      <xdr:row>24</xdr:row>
      <xdr:rowOff>28575</xdr:rowOff>
    </xdr:to>
    <xdr:sp macro="" textlink="">
      <xdr:nvSpPr>
        <xdr:cNvPr id="6" name="Retâ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0981EAB-3B76-4A76-81E4-9EAC22867581}"/>
            </a:ext>
          </a:extLst>
        </xdr:cNvPr>
        <xdr:cNvSpPr/>
      </xdr:nvSpPr>
      <xdr:spPr>
        <a:xfrm>
          <a:off x="3895725" y="3800475"/>
          <a:ext cx="1876425" cy="800100"/>
        </a:xfrm>
        <a:prstGeom prst="rect">
          <a:avLst/>
        </a:prstGeom>
        <a:solidFill>
          <a:srgbClr val="002060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softEdge rad="1270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Dashboard</a:t>
          </a:r>
        </a:p>
      </xdr:txBody>
    </xdr:sp>
    <xdr:clientData/>
  </xdr:twoCellAnchor>
  <xdr:twoCellAnchor>
    <xdr:from>
      <xdr:col>4</xdr:col>
      <xdr:colOff>514350</xdr:colOff>
      <xdr:row>13</xdr:row>
      <xdr:rowOff>95249</xdr:rowOff>
    </xdr:from>
    <xdr:to>
      <xdr:col>7</xdr:col>
      <xdr:colOff>571500</xdr:colOff>
      <xdr:row>17</xdr:row>
      <xdr:rowOff>85724</xdr:rowOff>
    </xdr:to>
    <xdr:sp macro="" textlink="">
      <xdr:nvSpPr>
        <xdr:cNvPr id="7" name="Retâ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26B3F94-6199-41C5-940F-040A4024041F}"/>
            </a:ext>
          </a:extLst>
        </xdr:cNvPr>
        <xdr:cNvSpPr/>
      </xdr:nvSpPr>
      <xdr:spPr>
        <a:xfrm>
          <a:off x="2952750" y="2571749"/>
          <a:ext cx="1885950" cy="752475"/>
        </a:xfrm>
        <a:prstGeom prst="rect">
          <a:avLst/>
        </a:prstGeom>
        <a:solidFill>
          <a:srgbClr val="002060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softEdge rad="1270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Análise de SWOT</a:t>
          </a:r>
        </a:p>
      </xdr:txBody>
    </xdr:sp>
    <xdr:clientData/>
  </xdr:twoCellAnchor>
  <xdr:twoCellAnchor>
    <xdr:from>
      <xdr:col>11</xdr:col>
      <xdr:colOff>495300</xdr:colOff>
      <xdr:row>13</xdr:row>
      <xdr:rowOff>85724</xdr:rowOff>
    </xdr:from>
    <xdr:to>
      <xdr:col>14</xdr:col>
      <xdr:colOff>561975</xdr:colOff>
      <xdr:row>17</xdr:row>
      <xdr:rowOff>152399</xdr:rowOff>
    </xdr:to>
    <xdr:sp macro="" textlink="">
      <xdr:nvSpPr>
        <xdr:cNvPr id="8" name="Retâ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5F3A4AB-C195-407C-B872-B89112079C05}"/>
            </a:ext>
          </a:extLst>
        </xdr:cNvPr>
        <xdr:cNvSpPr/>
      </xdr:nvSpPr>
      <xdr:spPr>
        <a:xfrm>
          <a:off x="7200900" y="2562224"/>
          <a:ext cx="1895475" cy="828675"/>
        </a:xfrm>
        <a:prstGeom prst="rect">
          <a:avLst/>
        </a:prstGeom>
        <a:solidFill>
          <a:srgbClr val="002060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softEdge rad="1270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Indicadores</a:t>
          </a:r>
        </a:p>
      </xdr:txBody>
    </xdr:sp>
    <xdr:clientData/>
  </xdr:twoCellAnchor>
  <xdr:twoCellAnchor>
    <xdr:from>
      <xdr:col>10</xdr:col>
      <xdr:colOff>161925</xdr:colOff>
      <xdr:row>19</xdr:row>
      <xdr:rowOff>171450</xdr:rowOff>
    </xdr:from>
    <xdr:to>
      <xdr:col>13</xdr:col>
      <xdr:colOff>209550</xdr:colOff>
      <xdr:row>24</xdr:row>
      <xdr:rowOff>19050</xdr:rowOff>
    </xdr:to>
    <xdr:sp macro="" textlink="">
      <xdr:nvSpPr>
        <xdr:cNvPr id="9" name="Retângulo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31D68FB-2DAE-4886-90B6-7F7ACBE159C5}"/>
            </a:ext>
          </a:extLst>
        </xdr:cNvPr>
        <xdr:cNvSpPr/>
      </xdr:nvSpPr>
      <xdr:spPr>
        <a:xfrm>
          <a:off x="6257925" y="3790950"/>
          <a:ext cx="1876425" cy="800100"/>
        </a:xfrm>
        <a:prstGeom prst="rect">
          <a:avLst/>
        </a:prstGeom>
        <a:solidFill>
          <a:srgbClr val="002060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softEdge rad="1270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Certificados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28576</xdr:rowOff>
    </xdr:from>
    <xdr:to>
      <xdr:col>1</xdr:col>
      <xdr:colOff>371475</xdr:colOff>
      <xdr:row>5</xdr:row>
      <xdr:rowOff>31624</xdr:rowOff>
    </xdr:to>
    <xdr:pic>
      <xdr:nvPicPr>
        <xdr:cNvPr id="5" name="Imagem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3FDA4E-947F-4D83-A08E-A88A75FA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8576"/>
          <a:ext cx="885825" cy="955548"/>
        </a:xfrm>
        <a:prstGeom prst="rect">
          <a:avLst/>
        </a:prstGeom>
      </xdr:spPr>
    </xdr:pic>
    <xdr:clientData/>
  </xdr:twoCellAnchor>
  <xdr:twoCellAnchor>
    <xdr:from>
      <xdr:col>2</xdr:col>
      <xdr:colOff>47625</xdr:colOff>
      <xdr:row>3</xdr:row>
      <xdr:rowOff>152400</xdr:rowOff>
    </xdr:from>
    <xdr:to>
      <xdr:col>4</xdr:col>
      <xdr:colOff>190500</xdr:colOff>
      <xdr:row>4</xdr:row>
      <xdr:rowOff>180975</xdr:rowOff>
    </xdr:to>
    <xdr:sp macro="" textlink="">
      <xdr:nvSpPr>
        <xdr:cNvPr id="12" name="Retângul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227960-3C02-4E8F-89DF-AE032992FD8C}"/>
            </a:ext>
          </a:extLst>
        </xdr:cNvPr>
        <xdr:cNvSpPr/>
      </xdr:nvSpPr>
      <xdr:spPr>
        <a:xfrm>
          <a:off x="1266825" y="723900"/>
          <a:ext cx="13620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Membros</a:t>
          </a:r>
        </a:p>
      </xdr:txBody>
    </xdr:sp>
    <xdr:clientData/>
  </xdr:twoCellAnchor>
  <xdr:twoCellAnchor>
    <xdr:from>
      <xdr:col>7</xdr:col>
      <xdr:colOff>66675</xdr:colOff>
      <xdr:row>3</xdr:row>
      <xdr:rowOff>152400</xdr:rowOff>
    </xdr:from>
    <xdr:to>
      <xdr:col>9</xdr:col>
      <xdr:colOff>209550</xdr:colOff>
      <xdr:row>4</xdr:row>
      <xdr:rowOff>180975</xdr:rowOff>
    </xdr:to>
    <xdr:sp macro="" textlink="">
      <xdr:nvSpPr>
        <xdr:cNvPr id="22" name="Retângulo 2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DDFCA2-B8FF-4C19-966C-01E69E9B9108}"/>
            </a:ext>
          </a:extLst>
        </xdr:cNvPr>
        <xdr:cNvSpPr/>
      </xdr:nvSpPr>
      <xdr:spPr>
        <a:xfrm>
          <a:off x="4333875" y="723900"/>
          <a:ext cx="13620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Atividades</a:t>
          </a:r>
        </a:p>
      </xdr:txBody>
    </xdr:sp>
    <xdr:clientData/>
  </xdr:twoCellAnchor>
  <xdr:twoCellAnchor>
    <xdr:from>
      <xdr:col>4</xdr:col>
      <xdr:colOff>371475</xdr:colOff>
      <xdr:row>3</xdr:row>
      <xdr:rowOff>152400</xdr:rowOff>
    </xdr:from>
    <xdr:to>
      <xdr:col>6</xdr:col>
      <xdr:colOff>514350</xdr:colOff>
      <xdr:row>4</xdr:row>
      <xdr:rowOff>180975</xdr:rowOff>
    </xdr:to>
    <xdr:sp macro="" textlink="">
      <xdr:nvSpPr>
        <xdr:cNvPr id="23" name="Retângulo 2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F8278B4-59C0-4427-B47B-CCE8978301C5}"/>
            </a:ext>
          </a:extLst>
        </xdr:cNvPr>
        <xdr:cNvSpPr/>
      </xdr:nvSpPr>
      <xdr:spPr>
        <a:xfrm>
          <a:off x="2809875" y="723900"/>
          <a:ext cx="13620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Comissão</a:t>
          </a:r>
        </a:p>
      </xdr:txBody>
    </xdr:sp>
    <xdr:clientData/>
  </xdr:twoCellAnchor>
  <xdr:twoCellAnchor>
    <xdr:from>
      <xdr:col>1</xdr:col>
      <xdr:colOff>561975</xdr:colOff>
      <xdr:row>0</xdr:row>
      <xdr:rowOff>95250</xdr:rowOff>
    </xdr:from>
    <xdr:to>
      <xdr:col>4</xdr:col>
      <xdr:colOff>361950</xdr:colOff>
      <xdr:row>2</xdr:row>
      <xdr:rowOff>76200</xdr:rowOff>
    </xdr:to>
    <xdr:sp macro="" textlink="">
      <xdr:nvSpPr>
        <xdr:cNvPr id="24" name="Retângul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D5AA1C8-31BB-48E0-A083-9E9768C5016B}"/>
            </a:ext>
          </a:extLst>
        </xdr:cNvPr>
        <xdr:cNvSpPr/>
      </xdr:nvSpPr>
      <xdr:spPr>
        <a:xfrm>
          <a:off x="1171575" y="95250"/>
          <a:ext cx="1628775" cy="36195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Cadastro</a:t>
          </a:r>
        </a:p>
      </xdr:txBody>
    </xdr:sp>
    <xdr:clientData/>
  </xdr:twoCellAnchor>
  <xdr:twoCellAnchor>
    <xdr:from>
      <xdr:col>10</xdr:col>
      <xdr:colOff>191560</xdr:colOff>
      <xdr:row>0</xdr:row>
      <xdr:rowOff>105833</xdr:rowOff>
    </xdr:from>
    <xdr:to>
      <xdr:col>12</xdr:col>
      <xdr:colOff>605368</xdr:colOff>
      <xdr:row>2</xdr:row>
      <xdr:rowOff>86783</xdr:rowOff>
    </xdr:to>
    <xdr:sp macro="" textlink="">
      <xdr:nvSpPr>
        <xdr:cNvPr id="25" name="Retângul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8588C72-238A-4C0C-9D7A-F243582DCB1C}"/>
            </a:ext>
          </a:extLst>
        </xdr:cNvPr>
        <xdr:cNvSpPr/>
      </xdr:nvSpPr>
      <xdr:spPr>
        <a:xfrm>
          <a:off x="6329893" y="105833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5W2H</a:t>
          </a:r>
        </a:p>
      </xdr:txBody>
    </xdr:sp>
    <xdr:clientData/>
  </xdr:twoCellAnchor>
  <xdr:twoCellAnchor>
    <xdr:from>
      <xdr:col>15</xdr:col>
      <xdr:colOff>557743</xdr:colOff>
      <xdr:row>0</xdr:row>
      <xdr:rowOff>105833</xdr:rowOff>
    </xdr:from>
    <xdr:to>
      <xdr:col>18</xdr:col>
      <xdr:colOff>357718</xdr:colOff>
      <xdr:row>2</xdr:row>
      <xdr:rowOff>86783</xdr:rowOff>
    </xdr:to>
    <xdr:sp macro="" textlink="">
      <xdr:nvSpPr>
        <xdr:cNvPr id="26" name="Retângulo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C14AA7D-D4D2-495E-966D-F8572FFF9C23}"/>
            </a:ext>
          </a:extLst>
        </xdr:cNvPr>
        <xdr:cNvSpPr/>
      </xdr:nvSpPr>
      <xdr:spPr>
        <a:xfrm>
          <a:off x="9765243" y="105833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Relatórios</a:t>
          </a:r>
        </a:p>
      </xdr:txBody>
    </xdr:sp>
    <xdr:clientData/>
  </xdr:twoCellAnchor>
  <xdr:twoCellAnchor>
    <xdr:from>
      <xdr:col>18</xdr:col>
      <xdr:colOff>443443</xdr:colOff>
      <xdr:row>0</xdr:row>
      <xdr:rowOff>115358</xdr:rowOff>
    </xdr:from>
    <xdr:to>
      <xdr:col>16383</xdr:col>
      <xdr:colOff>243418</xdr:colOff>
      <xdr:row>2</xdr:row>
      <xdr:rowOff>96308</xdr:rowOff>
    </xdr:to>
    <xdr:sp macro="" textlink="">
      <xdr:nvSpPr>
        <xdr:cNvPr id="27" name="Retângulo 2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92165C4-9427-4501-8333-4A6AC8EC88B8}"/>
            </a:ext>
          </a:extLst>
        </xdr:cNvPr>
        <xdr:cNvSpPr/>
      </xdr:nvSpPr>
      <xdr:spPr>
        <a:xfrm>
          <a:off x="11492443" y="115358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Dashboard</a:t>
          </a:r>
        </a:p>
      </xdr:txBody>
    </xdr:sp>
    <xdr:clientData/>
  </xdr:twoCellAnchor>
  <xdr:twoCellAnchor>
    <xdr:from>
      <xdr:col>4</xdr:col>
      <xdr:colOff>428625</xdr:colOff>
      <xdr:row>0</xdr:row>
      <xdr:rowOff>95250</xdr:rowOff>
    </xdr:from>
    <xdr:to>
      <xdr:col>7</xdr:col>
      <xdr:colOff>228600</xdr:colOff>
      <xdr:row>2</xdr:row>
      <xdr:rowOff>76200</xdr:rowOff>
    </xdr:to>
    <xdr:sp macro="" textlink="">
      <xdr:nvSpPr>
        <xdr:cNvPr id="28" name="Retângulo 2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389EA49-9D21-4EAE-A400-AA992F561141}"/>
            </a:ext>
          </a:extLst>
        </xdr:cNvPr>
        <xdr:cNvSpPr/>
      </xdr:nvSpPr>
      <xdr:spPr>
        <a:xfrm>
          <a:off x="2867025" y="95250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Análise de SWOT</a:t>
          </a:r>
        </a:p>
      </xdr:txBody>
    </xdr:sp>
    <xdr:clientData/>
  </xdr:twoCellAnchor>
  <xdr:twoCellAnchor>
    <xdr:from>
      <xdr:col>13</xdr:col>
      <xdr:colOff>67735</xdr:colOff>
      <xdr:row>0</xdr:row>
      <xdr:rowOff>105833</xdr:rowOff>
    </xdr:from>
    <xdr:to>
      <xdr:col>15</xdr:col>
      <xdr:colOff>481543</xdr:colOff>
      <xdr:row>2</xdr:row>
      <xdr:rowOff>86783</xdr:rowOff>
    </xdr:to>
    <xdr:sp macro="" textlink="">
      <xdr:nvSpPr>
        <xdr:cNvPr id="29" name="Retângulo 2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C63F94B-668F-435E-B944-3E246A0E38D9}"/>
            </a:ext>
          </a:extLst>
        </xdr:cNvPr>
        <xdr:cNvSpPr/>
      </xdr:nvSpPr>
      <xdr:spPr>
        <a:xfrm>
          <a:off x="8047568" y="105833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Indicadores</a:t>
          </a:r>
        </a:p>
      </xdr:txBody>
    </xdr:sp>
    <xdr:clientData/>
  </xdr:twoCellAnchor>
  <xdr:twoCellAnchor>
    <xdr:from>
      <xdr:col>9</xdr:col>
      <xdr:colOff>342900</xdr:colOff>
      <xdr:row>3</xdr:row>
      <xdr:rowOff>152400</xdr:rowOff>
    </xdr:from>
    <xdr:to>
      <xdr:col>11</xdr:col>
      <xdr:colOff>485775</xdr:colOff>
      <xdr:row>4</xdr:row>
      <xdr:rowOff>180975</xdr:rowOff>
    </xdr:to>
    <xdr:sp macro="" textlink="">
      <xdr:nvSpPr>
        <xdr:cNvPr id="13" name="Retângul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3428079-61D9-4D2C-A31C-A1858F8278A3}"/>
            </a:ext>
          </a:extLst>
        </xdr:cNvPr>
        <xdr:cNvSpPr/>
      </xdr:nvSpPr>
      <xdr:spPr>
        <a:xfrm>
          <a:off x="5829300" y="723900"/>
          <a:ext cx="13620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Id. Organizacional</a:t>
          </a:r>
        </a:p>
      </xdr:txBody>
    </xdr:sp>
    <xdr:clientData/>
  </xdr:twoCellAnchor>
  <xdr:twoCellAnchor>
    <xdr:from>
      <xdr:col>7</xdr:col>
      <xdr:colOff>315383</xdr:colOff>
      <xdr:row>0</xdr:row>
      <xdr:rowOff>93134</xdr:rowOff>
    </xdr:from>
    <xdr:to>
      <xdr:col>10</xdr:col>
      <xdr:colOff>115358</xdr:colOff>
      <xdr:row>2</xdr:row>
      <xdr:rowOff>74084</xdr:rowOff>
    </xdr:to>
    <xdr:sp macro="" textlink="">
      <xdr:nvSpPr>
        <xdr:cNvPr id="14" name="Retângulo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2EB55B3-E63B-4BD0-8BBC-2DC37564423E}"/>
            </a:ext>
          </a:extLst>
        </xdr:cNvPr>
        <xdr:cNvSpPr/>
      </xdr:nvSpPr>
      <xdr:spPr>
        <a:xfrm>
          <a:off x="4612216" y="93134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Objetivos Est.</a:t>
          </a:r>
          <a:r>
            <a:rPr lang="pt-BR" sz="12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e Metas</a:t>
          </a:r>
          <a:endParaRPr lang="pt-BR" sz="12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28576</xdr:rowOff>
    </xdr:from>
    <xdr:to>
      <xdr:col>1</xdr:col>
      <xdr:colOff>371475</xdr:colOff>
      <xdr:row>5</xdr:row>
      <xdr:rowOff>31624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6FC9D8-9734-4B40-B29C-CB76C3BE7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8576"/>
          <a:ext cx="885825" cy="955548"/>
        </a:xfrm>
        <a:prstGeom prst="rect">
          <a:avLst/>
        </a:prstGeom>
      </xdr:spPr>
    </xdr:pic>
    <xdr:clientData/>
  </xdr:twoCellAnchor>
  <xdr:twoCellAnchor>
    <xdr:from>
      <xdr:col>1</xdr:col>
      <xdr:colOff>619125</xdr:colOff>
      <xdr:row>3</xdr:row>
      <xdr:rowOff>161925</xdr:rowOff>
    </xdr:from>
    <xdr:to>
      <xdr:col>1</xdr:col>
      <xdr:colOff>1981200</xdr:colOff>
      <xdr:row>5</xdr:row>
      <xdr:rowOff>0</xdr:rowOff>
    </xdr:to>
    <xdr:sp macro="" textlink="">
      <xdr:nvSpPr>
        <xdr:cNvPr id="12" name="Retângul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F781927-68FD-497B-B1C0-41ABBB65AFB7}"/>
            </a:ext>
          </a:extLst>
        </xdr:cNvPr>
        <xdr:cNvSpPr/>
      </xdr:nvSpPr>
      <xdr:spPr>
        <a:xfrm>
          <a:off x="1228725" y="733425"/>
          <a:ext cx="1362075" cy="219075"/>
        </a:xfrm>
        <a:prstGeom prst="rect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C00000"/>
              </a:solidFill>
              <a:latin typeface="Cairo" panose="00000500000000000000" pitchFamily="2" charset="-78"/>
              <a:cs typeface="Cairo" panose="00000500000000000000" pitchFamily="2" charset="-78"/>
            </a:rPr>
            <a:t>Membros</a:t>
          </a:r>
        </a:p>
      </xdr:txBody>
    </xdr:sp>
    <xdr:clientData/>
  </xdr:twoCellAnchor>
  <xdr:twoCellAnchor>
    <xdr:from>
      <xdr:col>2</xdr:col>
      <xdr:colOff>876300</xdr:colOff>
      <xdr:row>3</xdr:row>
      <xdr:rowOff>161925</xdr:rowOff>
    </xdr:from>
    <xdr:to>
      <xdr:col>3</xdr:col>
      <xdr:colOff>323850</xdr:colOff>
      <xdr:row>5</xdr:row>
      <xdr:rowOff>0</xdr:rowOff>
    </xdr:to>
    <xdr:sp macro="" textlink="">
      <xdr:nvSpPr>
        <xdr:cNvPr id="13" name="Retângul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AB0F2-860A-426D-B08E-C57452122FD3}"/>
            </a:ext>
          </a:extLst>
        </xdr:cNvPr>
        <xdr:cNvSpPr/>
      </xdr:nvSpPr>
      <xdr:spPr>
        <a:xfrm>
          <a:off x="4295775" y="733425"/>
          <a:ext cx="13620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Atividades</a:t>
          </a:r>
        </a:p>
      </xdr:txBody>
    </xdr:sp>
    <xdr:clientData/>
  </xdr:twoCellAnchor>
  <xdr:twoCellAnchor>
    <xdr:from>
      <xdr:col>1</xdr:col>
      <xdr:colOff>2162175</xdr:colOff>
      <xdr:row>3</xdr:row>
      <xdr:rowOff>161925</xdr:rowOff>
    </xdr:from>
    <xdr:to>
      <xdr:col>2</xdr:col>
      <xdr:colOff>714375</xdr:colOff>
      <xdr:row>5</xdr:row>
      <xdr:rowOff>0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9D7B9B6-DAF2-4054-A0D6-14EFFE263CD8}"/>
            </a:ext>
          </a:extLst>
        </xdr:cNvPr>
        <xdr:cNvSpPr/>
      </xdr:nvSpPr>
      <xdr:spPr>
        <a:xfrm>
          <a:off x="2771775" y="733425"/>
          <a:ext cx="13620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Comissão</a:t>
          </a:r>
        </a:p>
      </xdr:txBody>
    </xdr:sp>
    <xdr:clientData/>
  </xdr:twoCellAnchor>
  <xdr:twoCellAnchor>
    <xdr:from>
      <xdr:col>3</xdr:col>
      <xdr:colOff>457200</xdr:colOff>
      <xdr:row>3</xdr:row>
      <xdr:rowOff>161925</xdr:rowOff>
    </xdr:from>
    <xdr:to>
      <xdr:col>3</xdr:col>
      <xdr:colOff>1819275</xdr:colOff>
      <xdr:row>5</xdr:row>
      <xdr:rowOff>0</xdr:rowOff>
    </xdr:to>
    <xdr:sp macro="" textlink="">
      <xdr:nvSpPr>
        <xdr:cNvPr id="21" name="Retângul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9367588-865A-474E-BF48-B237D9211D58}"/>
            </a:ext>
          </a:extLst>
        </xdr:cNvPr>
        <xdr:cNvSpPr/>
      </xdr:nvSpPr>
      <xdr:spPr>
        <a:xfrm>
          <a:off x="5791200" y="733425"/>
          <a:ext cx="13620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Id. Organizacional</a:t>
          </a:r>
        </a:p>
      </xdr:txBody>
    </xdr:sp>
    <xdr:clientData/>
  </xdr:twoCellAnchor>
  <xdr:twoCellAnchor>
    <xdr:from>
      <xdr:col>1</xdr:col>
      <xdr:colOff>424390</xdr:colOff>
      <xdr:row>0</xdr:row>
      <xdr:rowOff>125941</xdr:rowOff>
    </xdr:from>
    <xdr:to>
      <xdr:col>1</xdr:col>
      <xdr:colOff>2065865</xdr:colOff>
      <xdr:row>2</xdr:row>
      <xdr:rowOff>106891</xdr:rowOff>
    </xdr:to>
    <xdr:sp macro="" textlink="">
      <xdr:nvSpPr>
        <xdr:cNvPr id="36" name="Retângulo 3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1AEA75B-72D4-4387-9F2C-E7364F03CF0D}"/>
            </a:ext>
          </a:extLst>
        </xdr:cNvPr>
        <xdr:cNvSpPr/>
      </xdr:nvSpPr>
      <xdr:spPr>
        <a:xfrm>
          <a:off x="1033990" y="125941"/>
          <a:ext cx="1641475" cy="36195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Cadastro</a:t>
          </a:r>
        </a:p>
      </xdr:txBody>
    </xdr:sp>
    <xdr:clientData/>
  </xdr:twoCellAnchor>
  <xdr:twoCellAnchor>
    <xdr:from>
      <xdr:col>3</xdr:col>
      <xdr:colOff>854075</xdr:colOff>
      <xdr:row>0</xdr:row>
      <xdr:rowOff>136524</xdr:rowOff>
    </xdr:from>
    <xdr:to>
      <xdr:col>4</xdr:col>
      <xdr:colOff>609600</xdr:colOff>
      <xdr:row>2</xdr:row>
      <xdr:rowOff>117474</xdr:rowOff>
    </xdr:to>
    <xdr:sp macro="" textlink="">
      <xdr:nvSpPr>
        <xdr:cNvPr id="37" name="Retângulo 3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F5735E0-5FBD-4ACC-A6A8-0A29653673CB}"/>
            </a:ext>
          </a:extLst>
        </xdr:cNvPr>
        <xdr:cNvSpPr/>
      </xdr:nvSpPr>
      <xdr:spPr>
        <a:xfrm>
          <a:off x="6188075" y="136524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5W2H</a:t>
          </a:r>
        </a:p>
      </xdr:txBody>
    </xdr:sp>
    <xdr:clientData/>
  </xdr:twoCellAnchor>
  <xdr:twoCellAnchor>
    <xdr:from>
      <xdr:col>4</xdr:col>
      <xdr:colOff>2403475</xdr:colOff>
      <xdr:row>0</xdr:row>
      <xdr:rowOff>136524</xdr:rowOff>
    </xdr:from>
    <xdr:to>
      <xdr:col>5</xdr:col>
      <xdr:colOff>101600</xdr:colOff>
      <xdr:row>2</xdr:row>
      <xdr:rowOff>117474</xdr:rowOff>
    </xdr:to>
    <xdr:sp macro="" textlink="">
      <xdr:nvSpPr>
        <xdr:cNvPr id="38" name="Retângulo 3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FFE9DC3-CA2E-4377-ADA7-312CCF71488E}"/>
            </a:ext>
          </a:extLst>
        </xdr:cNvPr>
        <xdr:cNvSpPr/>
      </xdr:nvSpPr>
      <xdr:spPr>
        <a:xfrm>
          <a:off x="9623425" y="136524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Relatórios</a:t>
          </a:r>
        </a:p>
      </xdr:txBody>
    </xdr:sp>
    <xdr:clientData/>
  </xdr:twoCellAnchor>
  <xdr:twoCellAnchor>
    <xdr:from>
      <xdr:col>5</xdr:col>
      <xdr:colOff>187325</xdr:colOff>
      <xdr:row>0</xdr:row>
      <xdr:rowOff>146049</xdr:rowOff>
    </xdr:from>
    <xdr:to>
      <xdr:col>16383</xdr:col>
      <xdr:colOff>609600</xdr:colOff>
      <xdr:row>2</xdr:row>
      <xdr:rowOff>126999</xdr:rowOff>
    </xdr:to>
    <xdr:sp macro="" textlink="">
      <xdr:nvSpPr>
        <xdr:cNvPr id="39" name="Retângulo 3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8B9B834-A156-400F-ABE3-9AB0A0EACFE6}"/>
            </a:ext>
          </a:extLst>
        </xdr:cNvPr>
        <xdr:cNvSpPr/>
      </xdr:nvSpPr>
      <xdr:spPr>
        <a:xfrm>
          <a:off x="11350625" y="146049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Dashboard</a:t>
          </a:r>
        </a:p>
      </xdr:txBody>
    </xdr:sp>
    <xdr:clientData/>
  </xdr:twoCellAnchor>
  <xdr:twoCellAnchor>
    <xdr:from>
      <xdr:col>1</xdr:col>
      <xdr:colOff>2132540</xdr:colOff>
      <xdr:row>0</xdr:row>
      <xdr:rowOff>125941</xdr:rowOff>
    </xdr:from>
    <xdr:to>
      <xdr:col>2</xdr:col>
      <xdr:colOff>964140</xdr:colOff>
      <xdr:row>2</xdr:row>
      <xdr:rowOff>106891</xdr:rowOff>
    </xdr:to>
    <xdr:sp macro="" textlink="">
      <xdr:nvSpPr>
        <xdr:cNvPr id="40" name="Retângulo 3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4873618-6501-440E-8519-5DE923A5E2BA}"/>
            </a:ext>
          </a:extLst>
        </xdr:cNvPr>
        <xdr:cNvSpPr/>
      </xdr:nvSpPr>
      <xdr:spPr>
        <a:xfrm>
          <a:off x="2742140" y="125941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Análise de SWOT</a:t>
          </a:r>
        </a:p>
      </xdr:txBody>
    </xdr:sp>
    <xdr:clientData/>
  </xdr:twoCellAnchor>
  <xdr:twoCellAnchor>
    <xdr:from>
      <xdr:col>4</xdr:col>
      <xdr:colOff>685800</xdr:colOff>
      <xdr:row>0</xdr:row>
      <xdr:rowOff>136524</xdr:rowOff>
    </xdr:from>
    <xdr:to>
      <xdr:col>4</xdr:col>
      <xdr:colOff>2327275</xdr:colOff>
      <xdr:row>2</xdr:row>
      <xdr:rowOff>117474</xdr:rowOff>
    </xdr:to>
    <xdr:sp macro="" textlink="">
      <xdr:nvSpPr>
        <xdr:cNvPr id="41" name="Retângulo 4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35A6531-6CB8-4124-B5A8-B5CA4FDF5EF9}"/>
            </a:ext>
          </a:extLst>
        </xdr:cNvPr>
        <xdr:cNvSpPr/>
      </xdr:nvSpPr>
      <xdr:spPr>
        <a:xfrm>
          <a:off x="7905750" y="136524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Indicadores</a:t>
          </a:r>
        </a:p>
      </xdr:txBody>
    </xdr:sp>
    <xdr:clientData/>
  </xdr:twoCellAnchor>
  <xdr:twoCellAnchor>
    <xdr:from>
      <xdr:col>2</xdr:col>
      <xdr:colOff>1050923</xdr:colOff>
      <xdr:row>0</xdr:row>
      <xdr:rowOff>123825</xdr:rowOff>
    </xdr:from>
    <xdr:to>
      <xdr:col>3</xdr:col>
      <xdr:colOff>777873</xdr:colOff>
      <xdr:row>2</xdr:row>
      <xdr:rowOff>104775</xdr:rowOff>
    </xdr:to>
    <xdr:sp macro="" textlink="">
      <xdr:nvSpPr>
        <xdr:cNvPr id="42" name="Retângulo 4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2B82E86-96AC-47BC-8266-BBD5BAD175E7}"/>
            </a:ext>
          </a:extLst>
        </xdr:cNvPr>
        <xdr:cNvSpPr/>
      </xdr:nvSpPr>
      <xdr:spPr>
        <a:xfrm>
          <a:off x="4470398" y="123825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Objetivos Est.</a:t>
          </a:r>
          <a:r>
            <a:rPr lang="pt-BR" sz="12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e Metas</a:t>
          </a:r>
          <a:endParaRPr lang="pt-BR" sz="12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28576</xdr:rowOff>
    </xdr:from>
    <xdr:to>
      <xdr:col>1</xdr:col>
      <xdr:colOff>371475</xdr:colOff>
      <xdr:row>5</xdr:row>
      <xdr:rowOff>31624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8AE28D-5CE9-4414-B1A3-52DFB6778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8576"/>
          <a:ext cx="885825" cy="955548"/>
        </a:xfrm>
        <a:prstGeom prst="rect">
          <a:avLst/>
        </a:prstGeom>
      </xdr:spPr>
    </xdr:pic>
    <xdr:clientData/>
  </xdr:twoCellAnchor>
  <xdr:twoCellAnchor>
    <xdr:from>
      <xdr:col>1</xdr:col>
      <xdr:colOff>571500</xdr:colOff>
      <xdr:row>3</xdr:row>
      <xdr:rowOff>152400</xdr:rowOff>
    </xdr:from>
    <xdr:to>
      <xdr:col>1</xdr:col>
      <xdr:colOff>1933575</xdr:colOff>
      <xdr:row>4</xdr:row>
      <xdr:rowOff>180975</xdr:rowOff>
    </xdr:to>
    <xdr:sp macro="" textlink="">
      <xdr:nvSpPr>
        <xdr:cNvPr id="3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FFE56B1-5794-4A45-99EC-4EB9B781BAA1}"/>
            </a:ext>
          </a:extLst>
        </xdr:cNvPr>
        <xdr:cNvSpPr/>
      </xdr:nvSpPr>
      <xdr:spPr>
        <a:xfrm>
          <a:off x="1181100" y="723900"/>
          <a:ext cx="13620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Membros</a:t>
          </a:r>
        </a:p>
      </xdr:txBody>
    </xdr:sp>
    <xdr:clientData/>
  </xdr:twoCellAnchor>
  <xdr:twoCellAnchor>
    <xdr:from>
      <xdr:col>4</xdr:col>
      <xdr:colOff>104775</xdr:colOff>
      <xdr:row>3</xdr:row>
      <xdr:rowOff>152400</xdr:rowOff>
    </xdr:from>
    <xdr:to>
      <xdr:col>6</xdr:col>
      <xdr:colOff>247650</xdr:colOff>
      <xdr:row>4</xdr:row>
      <xdr:rowOff>180975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5A29193-1DFB-4370-89EC-8F5CD4FD4BBA}"/>
            </a:ext>
          </a:extLst>
        </xdr:cNvPr>
        <xdr:cNvSpPr/>
      </xdr:nvSpPr>
      <xdr:spPr>
        <a:xfrm>
          <a:off x="4248150" y="723900"/>
          <a:ext cx="13620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Atividades</a:t>
          </a:r>
        </a:p>
      </xdr:txBody>
    </xdr:sp>
    <xdr:clientData/>
  </xdr:twoCellAnchor>
  <xdr:twoCellAnchor>
    <xdr:from>
      <xdr:col>1</xdr:col>
      <xdr:colOff>2114550</xdr:colOff>
      <xdr:row>3</xdr:row>
      <xdr:rowOff>152400</xdr:rowOff>
    </xdr:from>
    <xdr:to>
      <xdr:col>3</xdr:col>
      <xdr:colOff>552450</xdr:colOff>
      <xdr:row>4</xdr:row>
      <xdr:rowOff>180975</xdr:rowOff>
    </xdr:to>
    <xdr:sp macro="" textlink="">
      <xdr:nvSpPr>
        <xdr:cNvPr id="5" name="Retâ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6EE97DF-127D-42A1-BBF1-B137220D44C4}"/>
            </a:ext>
          </a:extLst>
        </xdr:cNvPr>
        <xdr:cNvSpPr/>
      </xdr:nvSpPr>
      <xdr:spPr>
        <a:xfrm>
          <a:off x="2724150" y="723900"/>
          <a:ext cx="1362075" cy="219075"/>
        </a:xfrm>
        <a:prstGeom prst="rect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C00000"/>
              </a:solidFill>
              <a:latin typeface="Cairo" panose="00000500000000000000" pitchFamily="2" charset="-78"/>
              <a:cs typeface="Cairo" panose="00000500000000000000" pitchFamily="2" charset="-78"/>
            </a:rPr>
            <a:t>Comissão</a:t>
          </a:r>
        </a:p>
      </xdr:txBody>
    </xdr:sp>
    <xdr:clientData/>
  </xdr:twoCellAnchor>
  <xdr:twoCellAnchor>
    <xdr:from>
      <xdr:col>6</xdr:col>
      <xdr:colOff>400050</xdr:colOff>
      <xdr:row>3</xdr:row>
      <xdr:rowOff>152400</xdr:rowOff>
    </xdr:from>
    <xdr:to>
      <xdr:col>8</xdr:col>
      <xdr:colOff>542925</xdr:colOff>
      <xdr:row>4</xdr:row>
      <xdr:rowOff>180975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84E18EF-1828-4CE3-9136-3BE682D07DDB}"/>
            </a:ext>
          </a:extLst>
        </xdr:cNvPr>
        <xdr:cNvSpPr/>
      </xdr:nvSpPr>
      <xdr:spPr>
        <a:xfrm>
          <a:off x="5762625" y="723900"/>
          <a:ext cx="13620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Id. Organizacional</a:t>
          </a:r>
        </a:p>
      </xdr:txBody>
    </xdr:sp>
    <xdr:clientData/>
  </xdr:twoCellAnchor>
  <xdr:twoCellAnchor>
    <xdr:from>
      <xdr:col>1</xdr:col>
      <xdr:colOff>400050</xdr:colOff>
      <xdr:row>0</xdr:row>
      <xdr:rowOff>144991</xdr:rowOff>
    </xdr:from>
    <xdr:to>
      <xdr:col>1</xdr:col>
      <xdr:colOff>2041525</xdr:colOff>
      <xdr:row>2</xdr:row>
      <xdr:rowOff>125941</xdr:rowOff>
    </xdr:to>
    <xdr:sp macro="" textlink="">
      <xdr:nvSpPr>
        <xdr:cNvPr id="27" name="Retângulo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217707D-FB6C-4A51-89B8-3F436AD4CF4B}"/>
            </a:ext>
          </a:extLst>
        </xdr:cNvPr>
        <xdr:cNvSpPr/>
      </xdr:nvSpPr>
      <xdr:spPr>
        <a:xfrm>
          <a:off x="1009650" y="144991"/>
          <a:ext cx="1641475" cy="36195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Cadastro</a:t>
          </a:r>
        </a:p>
      </xdr:txBody>
    </xdr:sp>
    <xdr:clientData/>
  </xdr:twoCellAnchor>
  <xdr:twoCellAnchor>
    <xdr:from>
      <xdr:col>7</xdr:col>
      <xdr:colOff>191560</xdr:colOff>
      <xdr:row>0</xdr:row>
      <xdr:rowOff>155574</xdr:rowOff>
    </xdr:from>
    <xdr:to>
      <xdr:col>10</xdr:col>
      <xdr:colOff>4235</xdr:colOff>
      <xdr:row>2</xdr:row>
      <xdr:rowOff>136524</xdr:rowOff>
    </xdr:to>
    <xdr:sp macro="" textlink="">
      <xdr:nvSpPr>
        <xdr:cNvPr id="28" name="Retângulo 2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B43AC60-2DD1-4556-9E8F-2C57472AAD7F}"/>
            </a:ext>
          </a:extLst>
        </xdr:cNvPr>
        <xdr:cNvSpPr/>
      </xdr:nvSpPr>
      <xdr:spPr>
        <a:xfrm>
          <a:off x="6163735" y="155574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5W2H</a:t>
          </a:r>
        </a:p>
      </xdr:txBody>
    </xdr:sp>
    <xdr:clientData/>
  </xdr:twoCellAnchor>
  <xdr:twoCellAnchor>
    <xdr:from>
      <xdr:col>12</xdr:col>
      <xdr:colOff>578910</xdr:colOff>
      <xdr:row>0</xdr:row>
      <xdr:rowOff>155574</xdr:rowOff>
    </xdr:from>
    <xdr:to>
      <xdr:col>15</xdr:col>
      <xdr:colOff>391585</xdr:colOff>
      <xdr:row>2</xdr:row>
      <xdr:rowOff>136524</xdr:rowOff>
    </xdr:to>
    <xdr:sp macro="" textlink="">
      <xdr:nvSpPr>
        <xdr:cNvPr id="29" name="Retângulo 2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F8EB026-D488-4116-9258-5AE753D9F4F6}"/>
            </a:ext>
          </a:extLst>
        </xdr:cNvPr>
        <xdr:cNvSpPr/>
      </xdr:nvSpPr>
      <xdr:spPr>
        <a:xfrm>
          <a:off x="9599085" y="155574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Relatórios</a:t>
          </a:r>
        </a:p>
      </xdr:txBody>
    </xdr:sp>
    <xdr:clientData/>
  </xdr:twoCellAnchor>
  <xdr:twoCellAnchor>
    <xdr:from>
      <xdr:col>15</xdr:col>
      <xdr:colOff>477310</xdr:colOff>
      <xdr:row>0</xdr:row>
      <xdr:rowOff>155574</xdr:rowOff>
    </xdr:from>
    <xdr:to>
      <xdr:col>17</xdr:col>
      <xdr:colOff>413810</xdr:colOff>
      <xdr:row>2</xdr:row>
      <xdr:rowOff>136524</xdr:rowOff>
    </xdr:to>
    <xdr:sp macro="" textlink="">
      <xdr:nvSpPr>
        <xdr:cNvPr id="30" name="Retângulo 2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815682A-A963-4323-97FC-8AC9B38E907A}"/>
            </a:ext>
          </a:extLst>
        </xdr:cNvPr>
        <xdr:cNvSpPr/>
      </xdr:nvSpPr>
      <xdr:spPr>
        <a:xfrm>
          <a:off x="11326285" y="155574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Dashboard</a:t>
          </a:r>
        </a:p>
      </xdr:txBody>
    </xdr:sp>
    <xdr:clientData/>
  </xdr:twoCellAnchor>
  <xdr:twoCellAnchor>
    <xdr:from>
      <xdr:col>1</xdr:col>
      <xdr:colOff>2108200</xdr:colOff>
      <xdr:row>0</xdr:row>
      <xdr:rowOff>144991</xdr:rowOff>
    </xdr:from>
    <xdr:to>
      <xdr:col>4</xdr:col>
      <xdr:colOff>215900</xdr:colOff>
      <xdr:row>2</xdr:row>
      <xdr:rowOff>125941</xdr:rowOff>
    </xdr:to>
    <xdr:sp macro="" textlink="">
      <xdr:nvSpPr>
        <xdr:cNvPr id="31" name="Retângulo 3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5ADB1B6-AE0A-47D6-9F9F-0D053E5487C3}"/>
            </a:ext>
          </a:extLst>
        </xdr:cNvPr>
        <xdr:cNvSpPr/>
      </xdr:nvSpPr>
      <xdr:spPr>
        <a:xfrm>
          <a:off x="2717800" y="144991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Análise de SWOT</a:t>
          </a:r>
        </a:p>
      </xdr:txBody>
    </xdr:sp>
    <xdr:clientData/>
  </xdr:twoCellAnchor>
  <xdr:twoCellAnchor>
    <xdr:from>
      <xdr:col>10</xdr:col>
      <xdr:colOff>80435</xdr:colOff>
      <xdr:row>0</xdr:row>
      <xdr:rowOff>155574</xdr:rowOff>
    </xdr:from>
    <xdr:to>
      <xdr:col>12</xdr:col>
      <xdr:colOff>502710</xdr:colOff>
      <xdr:row>2</xdr:row>
      <xdr:rowOff>136524</xdr:rowOff>
    </xdr:to>
    <xdr:sp macro="" textlink="">
      <xdr:nvSpPr>
        <xdr:cNvPr id="32" name="Retângulo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4F7A515-035C-4CE1-BF69-91D5659B3F24}"/>
            </a:ext>
          </a:extLst>
        </xdr:cNvPr>
        <xdr:cNvSpPr/>
      </xdr:nvSpPr>
      <xdr:spPr>
        <a:xfrm>
          <a:off x="7881410" y="155574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Indicadores</a:t>
          </a:r>
        </a:p>
      </xdr:txBody>
    </xdr:sp>
    <xdr:clientData/>
  </xdr:twoCellAnchor>
  <xdr:twoCellAnchor>
    <xdr:from>
      <xdr:col>4</xdr:col>
      <xdr:colOff>302683</xdr:colOff>
      <xdr:row>0</xdr:row>
      <xdr:rowOff>142875</xdr:rowOff>
    </xdr:from>
    <xdr:to>
      <xdr:col>7</xdr:col>
      <xdr:colOff>115358</xdr:colOff>
      <xdr:row>2</xdr:row>
      <xdr:rowOff>123825</xdr:rowOff>
    </xdr:to>
    <xdr:sp macro="" textlink="">
      <xdr:nvSpPr>
        <xdr:cNvPr id="33" name="Retângulo 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67A3D14E-49D9-4043-883A-B28ADBF4C439}"/>
            </a:ext>
          </a:extLst>
        </xdr:cNvPr>
        <xdr:cNvSpPr/>
      </xdr:nvSpPr>
      <xdr:spPr>
        <a:xfrm>
          <a:off x="4446058" y="142875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Objetivos Est.</a:t>
          </a:r>
          <a:r>
            <a:rPr lang="pt-BR" sz="12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e Metas</a:t>
          </a:r>
          <a:endParaRPr lang="pt-BR" sz="12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28576</xdr:rowOff>
    </xdr:from>
    <xdr:to>
      <xdr:col>1</xdr:col>
      <xdr:colOff>371475</xdr:colOff>
      <xdr:row>5</xdr:row>
      <xdr:rowOff>31624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1A45F6-F3A1-498A-9FB6-C6E116CB39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8576"/>
          <a:ext cx="885825" cy="955548"/>
        </a:xfrm>
        <a:prstGeom prst="rect">
          <a:avLst/>
        </a:prstGeom>
      </xdr:spPr>
    </xdr:pic>
    <xdr:clientData/>
  </xdr:twoCellAnchor>
  <xdr:twoCellAnchor>
    <xdr:from>
      <xdr:col>1</xdr:col>
      <xdr:colOff>514350</xdr:colOff>
      <xdr:row>3</xdr:row>
      <xdr:rowOff>161925</xdr:rowOff>
    </xdr:from>
    <xdr:to>
      <xdr:col>1</xdr:col>
      <xdr:colOff>1876425</xdr:colOff>
      <xdr:row>5</xdr:row>
      <xdr:rowOff>0</xdr:rowOff>
    </xdr:to>
    <xdr:sp macro="" textlink="">
      <xdr:nvSpPr>
        <xdr:cNvPr id="3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D11ED19-FCB7-4E72-B9B6-FEB30D1B927A}"/>
            </a:ext>
          </a:extLst>
        </xdr:cNvPr>
        <xdr:cNvSpPr/>
      </xdr:nvSpPr>
      <xdr:spPr>
        <a:xfrm>
          <a:off x="1123950" y="733425"/>
          <a:ext cx="13620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Membros</a:t>
          </a:r>
        </a:p>
      </xdr:txBody>
    </xdr:sp>
    <xdr:clientData/>
  </xdr:twoCellAnchor>
  <xdr:twoCellAnchor>
    <xdr:from>
      <xdr:col>2</xdr:col>
      <xdr:colOff>266700</xdr:colOff>
      <xdr:row>3</xdr:row>
      <xdr:rowOff>161925</xdr:rowOff>
    </xdr:from>
    <xdr:to>
      <xdr:col>4</xdr:col>
      <xdr:colOff>409575</xdr:colOff>
      <xdr:row>5</xdr:row>
      <xdr:rowOff>0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F6F385B-B924-472B-B57E-C60E8B833EC5}"/>
            </a:ext>
          </a:extLst>
        </xdr:cNvPr>
        <xdr:cNvSpPr/>
      </xdr:nvSpPr>
      <xdr:spPr>
        <a:xfrm>
          <a:off x="4191000" y="733425"/>
          <a:ext cx="1362075" cy="219075"/>
        </a:xfrm>
        <a:prstGeom prst="rect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C00000"/>
              </a:solidFill>
              <a:latin typeface="Cairo" panose="00000500000000000000" pitchFamily="2" charset="-78"/>
              <a:cs typeface="Cairo" panose="00000500000000000000" pitchFamily="2" charset="-78"/>
            </a:rPr>
            <a:t>Atividades</a:t>
          </a:r>
        </a:p>
      </xdr:txBody>
    </xdr:sp>
    <xdr:clientData/>
  </xdr:twoCellAnchor>
  <xdr:twoCellAnchor>
    <xdr:from>
      <xdr:col>1</xdr:col>
      <xdr:colOff>2057400</xdr:colOff>
      <xdr:row>3</xdr:row>
      <xdr:rowOff>161925</xdr:rowOff>
    </xdr:from>
    <xdr:to>
      <xdr:col>2</xdr:col>
      <xdr:colOff>104775</xdr:colOff>
      <xdr:row>5</xdr:row>
      <xdr:rowOff>0</xdr:rowOff>
    </xdr:to>
    <xdr:sp macro="" textlink="">
      <xdr:nvSpPr>
        <xdr:cNvPr id="5" name="Retâ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1D62818-388B-4C8D-A4F6-FC083B69AA62}"/>
            </a:ext>
          </a:extLst>
        </xdr:cNvPr>
        <xdr:cNvSpPr/>
      </xdr:nvSpPr>
      <xdr:spPr>
        <a:xfrm>
          <a:off x="2667000" y="733425"/>
          <a:ext cx="13620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Comissão</a:t>
          </a:r>
        </a:p>
      </xdr:txBody>
    </xdr:sp>
    <xdr:clientData/>
  </xdr:twoCellAnchor>
  <xdr:twoCellAnchor>
    <xdr:from>
      <xdr:col>4</xdr:col>
      <xdr:colOff>571500</xdr:colOff>
      <xdr:row>3</xdr:row>
      <xdr:rowOff>161925</xdr:rowOff>
    </xdr:from>
    <xdr:to>
      <xdr:col>7</xdr:col>
      <xdr:colOff>104775</xdr:colOff>
      <xdr:row>5</xdr:row>
      <xdr:rowOff>0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AF8D36A-AB71-4095-AD72-16A3C61C9E21}"/>
            </a:ext>
          </a:extLst>
        </xdr:cNvPr>
        <xdr:cNvSpPr/>
      </xdr:nvSpPr>
      <xdr:spPr>
        <a:xfrm>
          <a:off x="5715000" y="733425"/>
          <a:ext cx="13620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Id. Organizacional</a:t>
          </a:r>
        </a:p>
      </xdr:txBody>
    </xdr:sp>
    <xdr:clientData/>
  </xdr:twoCellAnchor>
  <xdr:twoCellAnchor>
    <xdr:from>
      <xdr:col>1</xdr:col>
      <xdr:colOff>438150</xdr:colOff>
      <xdr:row>0</xdr:row>
      <xdr:rowOff>125941</xdr:rowOff>
    </xdr:from>
    <xdr:to>
      <xdr:col>1</xdr:col>
      <xdr:colOff>2079625</xdr:colOff>
      <xdr:row>2</xdr:row>
      <xdr:rowOff>106891</xdr:rowOff>
    </xdr:to>
    <xdr:sp macro="" textlink="">
      <xdr:nvSpPr>
        <xdr:cNvPr id="13" name="Retângulo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551B9F-2C1B-48F3-9EC7-B5BBBC74ED7A}"/>
            </a:ext>
          </a:extLst>
        </xdr:cNvPr>
        <xdr:cNvSpPr/>
      </xdr:nvSpPr>
      <xdr:spPr>
        <a:xfrm>
          <a:off x="1047750" y="125941"/>
          <a:ext cx="1641475" cy="36195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Cadastro</a:t>
          </a:r>
        </a:p>
      </xdr:txBody>
    </xdr:sp>
    <xdr:clientData/>
  </xdr:twoCellAnchor>
  <xdr:twoCellAnchor>
    <xdr:from>
      <xdr:col>5</xdr:col>
      <xdr:colOff>448735</xdr:colOff>
      <xdr:row>0</xdr:row>
      <xdr:rowOff>136524</xdr:rowOff>
    </xdr:from>
    <xdr:to>
      <xdr:col>8</xdr:col>
      <xdr:colOff>261410</xdr:colOff>
      <xdr:row>2</xdr:row>
      <xdr:rowOff>117474</xdr:rowOff>
    </xdr:to>
    <xdr:sp macro="" textlink="">
      <xdr:nvSpPr>
        <xdr:cNvPr id="14" name="Retângulo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D9190F-6B92-4004-A46D-54D7B7BED302}"/>
            </a:ext>
          </a:extLst>
        </xdr:cNvPr>
        <xdr:cNvSpPr/>
      </xdr:nvSpPr>
      <xdr:spPr>
        <a:xfrm>
          <a:off x="6201835" y="136524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5W2H</a:t>
          </a:r>
        </a:p>
      </xdr:txBody>
    </xdr:sp>
    <xdr:clientData/>
  </xdr:twoCellAnchor>
  <xdr:twoCellAnchor>
    <xdr:from>
      <xdr:col>11</xdr:col>
      <xdr:colOff>226485</xdr:colOff>
      <xdr:row>0</xdr:row>
      <xdr:rowOff>136524</xdr:rowOff>
    </xdr:from>
    <xdr:to>
      <xdr:col>14</xdr:col>
      <xdr:colOff>39160</xdr:colOff>
      <xdr:row>2</xdr:row>
      <xdr:rowOff>117474</xdr:rowOff>
    </xdr:to>
    <xdr:sp macro="" textlink="">
      <xdr:nvSpPr>
        <xdr:cNvPr id="15" name="Retângul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745DF2F-A6CC-466F-840B-F14F5D35C0A3}"/>
            </a:ext>
          </a:extLst>
        </xdr:cNvPr>
        <xdr:cNvSpPr/>
      </xdr:nvSpPr>
      <xdr:spPr>
        <a:xfrm>
          <a:off x="9637185" y="136524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Relatórios</a:t>
          </a:r>
        </a:p>
      </xdr:txBody>
    </xdr:sp>
    <xdr:clientData/>
  </xdr:twoCellAnchor>
  <xdr:twoCellAnchor>
    <xdr:from>
      <xdr:col>14</xdr:col>
      <xdr:colOff>124885</xdr:colOff>
      <xdr:row>0</xdr:row>
      <xdr:rowOff>146049</xdr:rowOff>
    </xdr:from>
    <xdr:to>
      <xdr:col>16</xdr:col>
      <xdr:colOff>537635</xdr:colOff>
      <xdr:row>2</xdr:row>
      <xdr:rowOff>126999</xdr:rowOff>
    </xdr:to>
    <xdr:sp macro="" textlink="">
      <xdr:nvSpPr>
        <xdr:cNvPr id="16" name="Retângulo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22710A8-999D-42A4-8925-B9331784D3D3}"/>
            </a:ext>
          </a:extLst>
        </xdr:cNvPr>
        <xdr:cNvSpPr/>
      </xdr:nvSpPr>
      <xdr:spPr>
        <a:xfrm>
          <a:off x="11364385" y="146049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Dashboard</a:t>
          </a:r>
        </a:p>
      </xdr:txBody>
    </xdr:sp>
    <xdr:clientData/>
  </xdr:twoCellAnchor>
  <xdr:twoCellAnchor>
    <xdr:from>
      <xdr:col>1</xdr:col>
      <xdr:colOff>2146300</xdr:colOff>
      <xdr:row>0</xdr:row>
      <xdr:rowOff>125941</xdr:rowOff>
    </xdr:from>
    <xdr:to>
      <xdr:col>2</xdr:col>
      <xdr:colOff>473075</xdr:colOff>
      <xdr:row>2</xdr:row>
      <xdr:rowOff>106891</xdr:rowOff>
    </xdr:to>
    <xdr:sp macro="" textlink="">
      <xdr:nvSpPr>
        <xdr:cNvPr id="17" name="Retângulo 1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8A8C2CF-2CCC-41D6-8A89-E4EB1D3710DA}"/>
            </a:ext>
          </a:extLst>
        </xdr:cNvPr>
        <xdr:cNvSpPr/>
      </xdr:nvSpPr>
      <xdr:spPr>
        <a:xfrm>
          <a:off x="2755900" y="125941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Análise de SWOT</a:t>
          </a:r>
        </a:p>
      </xdr:txBody>
    </xdr:sp>
    <xdr:clientData/>
  </xdr:twoCellAnchor>
  <xdr:twoCellAnchor>
    <xdr:from>
      <xdr:col>8</xdr:col>
      <xdr:colOff>337610</xdr:colOff>
      <xdr:row>0</xdr:row>
      <xdr:rowOff>136524</xdr:rowOff>
    </xdr:from>
    <xdr:to>
      <xdr:col>11</xdr:col>
      <xdr:colOff>150285</xdr:colOff>
      <xdr:row>2</xdr:row>
      <xdr:rowOff>117474</xdr:rowOff>
    </xdr:to>
    <xdr:sp macro="" textlink="">
      <xdr:nvSpPr>
        <xdr:cNvPr id="18" name="Retângulo 1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3D6130A-972C-47A7-BF35-6AEFF6F0489E}"/>
            </a:ext>
          </a:extLst>
        </xdr:cNvPr>
        <xdr:cNvSpPr/>
      </xdr:nvSpPr>
      <xdr:spPr>
        <a:xfrm>
          <a:off x="7919510" y="136524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Indicadores</a:t>
          </a:r>
        </a:p>
      </xdr:txBody>
    </xdr:sp>
    <xdr:clientData/>
  </xdr:twoCellAnchor>
  <xdr:twoCellAnchor>
    <xdr:from>
      <xdr:col>2</xdr:col>
      <xdr:colOff>559858</xdr:colOff>
      <xdr:row>0</xdr:row>
      <xdr:rowOff>123825</xdr:rowOff>
    </xdr:from>
    <xdr:to>
      <xdr:col>5</xdr:col>
      <xdr:colOff>372533</xdr:colOff>
      <xdr:row>2</xdr:row>
      <xdr:rowOff>104775</xdr:rowOff>
    </xdr:to>
    <xdr:sp macro="" textlink="">
      <xdr:nvSpPr>
        <xdr:cNvPr id="19" name="Retângulo 1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5E791813-5982-468A-8BED-E235199EB3B5}"/>
            </a:ext>
          </a:extLst>
        </xdr:cNvPr>
        <xdr:cNvSpPr/>
      </xdr:nvSpPr>
      <xdr:spPr>
        <a:xfrm>
          <a:off x="4484158" y="123825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Objetivos Est.</a:t>
          </a:r>
          <a:r>
            <a:rPr lang="pt-BR" sz="12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e Metas</a:t>
          </a:r>
          <a:endParaRPr lang="pt-BR" sz="12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38100</xdr:rowOff>
    </xdr:from>
    <xdr:to>
      <xdr:col>1</xdr:col>
      <xdr:colOff>366183</xdr:colOff>
      <xdr:row>5</xdr:row>
      <xdr:rowOff>41148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344518-FB7B-4F65-901C-FE87A3EB9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38100"/>
          <a:ext cx="890058" cy="955548"/>
        </a:xfrm>
        <a:prstGeom prst="rect">
          <a:avLst/>
        </a:prstGeom>
      </xdr:spPr>
    </xdr:pic>
    <xdr:clientData/>
  </xdr:twoCellAnchor>
  <xdr:twoCellAnchor>
    <xdr:from>
      <xdr:col>1</xdr:col>
      <xdr:colOff>656167</xdr:colOff>
      <xdr:row>3</xdr:row>
      <xdr:rowOff>161924</xdr:rowOff>
    </xdr:from>
    <xdr:to>
      <xdr:col>2</xdr:col>
      <xdr:colOff>836083</xdr:colOff>
      <xdr:row>4</xdr:row>
      <xdr:rowOff>190499</xdr:rowOff>
    </xdr:to>
    <xdr:sp macro="" textlink="">
      <xdr:nvSpPr>
        <xdr:cNvPr id="3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BCBB4FC-89A6-4468-8410-6577DC3EC540}"/>
            </a:ext>
          </a:extLst>
        </xdr:cNvPr>
        <xdr:cNvSpPr/>
      </xdr:nvSpPr>
      <xdr:spPr>
        <a:xfrm>
          <a:off x="1265767" y="733424"/>
          <a:ext cx="1370541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Membros</a:t>
          </a:r>
        </a:p>
      </xdr:txBody>
    </xdr:sp>
    <xdr:clientData/>
  </xdr:twoCellAnchor>
  <xdr:twoCellAnchor>
    <xdr:from>
      <xdr:col>4</xdr:col>
      <xdr:colOff>324908</xdr:colOff>
      <xdr:row>3</xdr:row>
      <xdr:rowOff>161924</xdr:rowOff>
    </xdr:from>
    <xdr:to>
      <xdr:col>6</xdr:col>
      <xdr:colOff>295275</xdr:colOff>
      <xdr:row>4</xdr:row>
      <xdr:rowOff>190499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28D1FE3-80D1-4625-937D-D7135B9CDB2A}"/>
            </a:ext>
          </a:extLst>
        </xdr:cNvPr>
        <xdr:cNvSpPr/>
      </xdr:nvSpPr>
      <xdr:spPr>
        <a:xfrm>
          <a:off x="4353983" y="733424"/>
          <a:ext cx="1370542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Atividades</a:t>
          </a:r>
        </a:p>
      </xdr:txBody>
    </xdr:sp>
    <xdr:clientData/>
  </xdr:twoCellAnchor>
  <xdr:twoCellAnchor>
    <xdr:from>
      <xdr:col>3</xdr:col>
      <xdr:colOff>121708</xdr:colOff>
      <xdr:row>3</xdr:row>
      <xdr:rowOff>161924</xdr:rowOff>
    </xdr:from>
    <xdr:to>
      <xdr:col>4</xdr:col>
      <xdr:colOff>158750</xdr:colOff>
      <xdr:row>4</xdr:row>
      <xdr:rowOff>190499</xdr:rowOff>
    </xdr:to>
    <xdr:sp macro="" textlink="">
      <xdr:nvSpPr>
        <xdr:cNvPr id="5" name="Retâ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2629FF8-8DBE-4F7E-BBEA-CE3723491620}"/>
            </a:ext>
          </a:extLst>
        </xdr:cNvPr>
        <xdr:cNvSpPr/>
      </xdr:nvSpPr>
      <xdr:spPr>
        <a:xfrm>
          <a:off x="2817283" y="733424"/>
          <a:ext cx="1370542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Comissão</a:t>
          </a:r>
        </a:p>
      </xdr:txBody>
    </xdr:sp>
    <xdr:clientData/>
  </xdr:twoCellAnchor>
  <xdr:twoCellAnchor>
    <xdr:from>
      <xdr:col>1</xdr:col>
      <xdr:colOff>556683</xdr:colOff>
      <xdr:row>0</xdr:row>
      <xdr:rowOff>104774</xdr:rowOff>
    </xdr:from>
    <xdr:to>
      <xdr:col>3</xdr:col>
      <xdr:colOff>112183</xdr:colOff>
      <xdr:row>2</xdr:row>
      <xdr:rowOff>85724</xdr:rowOff>
    </xdr:to>
    <xdr:sp macro="" textlink="">
      <xdr:nvSpPr>
        <xdr:cNvPr id="6" name="Retâ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991D8EB-4F4A-4A38-BD20-FAE10612055C}"/>
            </a:ext>
          </a:extLst>
        </xdr:cNvPr>
        <xdr:cNvSpPr/>
      </xdr:nvSpPr>
      <xdr:spPr>
        <a:xfrm>
          <a:off x="1166283" y="104774"/>
          <a:ext cx="1641475" cy="36195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Cadastro</a:t>
          </a:r>
        </a:p>
      </xdr:txBody>
    </xdr:sp>
    <xdr:clientData/>
  </xdr:twoCellAnchor>
  <xdr:twoCellAnchor>
    <xdr:from>
      <xdr:col>7</xdr:col>
      <xdr:colOff>195793</xdr:colOff>
      <xdr:row>0</xdr:row>
      <xdr:rowOff>115357</xdr:rowOff>
    </xdr:from>
    <xdr:to>
      <xdr:col>8</xdr:col>
      <xdr:colOff>503768</xdr:colOff>
      <xdr:row>2</xdr:row>
      <xdr:rowOff>96307</xdr:rowOff>
    </xdr:to>
    <xdr:sp macro="" textlink="">
      <xdr:nvSpPr>
        <xdr:cNvPr id="7" name="Retâ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EF8BE06-6C7E-4F34-AE19-5DEA729A146A}"/>
            </a:ext>
          </a:extLst>
        </xdr:cNvPr>
        <xdr:cNvSpPr/>
      </xdr:nvSpPr>
      <xdr:spPr>
        <a:xfrm>
          <a:off x="6320368" y="115357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5W2H</a:t>
          </a:r>
        </a:p>
      </xdr:txBody>
    </xdr:sp>
    <xdr:clientData/>
  </xdr:twoCellAnchor>
  <xdr:twoCellAnchor>
    <xdr:from>
      <xdr:col>11</xdr:col>
      <xdr:colOff>116418</xdr:colOff>
      <xdr:row>0</xdr:row>
      <xdr:rowOff>115357</xdr:rowOff>
    </xdr:from>
    <xdr:to>
      <xdr:col>13</xdr:col>
      <xdr:colOff>538693</xdr:colOff>
      <xdr:row>2</xdr:row>
      <xdr:rowOff>96307</xdr:rowOff>
    </xdr:to>
    <xdr:sp macro="" textlink="">
      <xdr:nvSpPr>
        <xdr:cNvPr id="8" name="Retâ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9C29A8F-1BBC-482F-9FB0-FB939E03BCDA}"/>
            </a:ext>
          </a:extLst>
        </xdr:cNvPr>
        <xdr:cNvSpPr/>
      </xdr:nvSpPr>
      <xdr:spPr>
        <a:xfrm>
          <a:off x="9755718" y="115357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Relatórios</a:t>
          </a:r>
        </a:p>
      </xdr:txBody>
    </xdr:sp>
    <xdr:clientData/>
  </xdr:twoCellAnchor>
  <xdr:twoCellAnchor>
    <xdr:from>
      <xdr:col>14</xdr:col>
      <xdr:colOff>14818</xdr:colOff>
      <xdr:row>0</xdr:row>
      <xdr:rowOff>124882</xdr:rowOff>
    </xdr:from>
    <xdr:to>
      <xdr:col>16</xdr:col>
      <xdr:colOff>437093</xdr:colOff>
      <xdr:row>2</xdr:row>
      <xdr:rowOff>105832</xdr:rowOff>
    </xdr:to>
    <xdr:sp macro="" textlink="">
      <xdr:nvSpPr>
        <xdr:cNvPr id="9" name="Retângulo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C847994-BA79-4819-A593-BE0E02E7FA34}"/>
            </a:ext>
          </a:extLst>
        </xdr:cNvPr>
        <xdr:cNvSpPr/>
      </xdr:nvSpPr>
      <xdr:spPr>
        <a:xfrm>
          <a:off x="11482918" y="124882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Dashboard</a:t>
          </a:r>
        </a:p>
      </xdr:txBody>
    </xdr:sp>
    <xdr:clientData/>
  </xdr:twoCellAnchor>
  <xdr:twoCellAnchor>
    <xdr:from>
      <xdr:col>3</xdr:col>
      <xdr:colOff>178858</xdr:colOff>
      <xdr:row>0</xdr:row>
      <xdr:rowOff>104774</xdr:rowOff>
    </xdr:from>
    <xdr:to>
      <xdr:col>4</xdr:col>
      <xdr:colOff>486833</xdr:colOff>
      <xdr:row>2</xdr:row>
      <xdr:rowOff>85724</xdr:rowOff>
    </xdr:to>
    <xdr:sp macro="" textlink="">
      <xdr:nvSpPr>
        <xdr:cNvPr id="10" name="Retângulo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C398FDC-2AF8-43B5-A8C3-D195860229A4}"/>
            </a:ext>
          </a:extLst>
        </xdr:cNvPr>
        <xdr:cNvSpPr/>
      </xdr:nvSpPr>
      <xdr:spPr>
        <a:xfrm>
          <a:off x="2874433" y="104774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Análise de SWOT</a:t>
          </a:r>
        </a:p>
      </xdr:txBody>
    </xdr:sp>
    <xdr:clientData/>
  </xdr:twoCellAnchor>
  <xdr:twoCellAnchor>
    <xdr:from>
      <xdr:col>8</xdr:col>
      <xdr:colOff>579968</xdr:colOff>
      <xdr:row>0</xdr:row>
      <xdr:rowOff>115357</xdr:rowOff>
    </xdr:from>
    <xdr:to>
      <xdr:col>11</xdr:col>
      <xdr:colOff>40218</xdr:colOff>
      <xdr:row>2</xdr:row>
      <xdr:rowOff>96307</xdr:rowOff>
    </xdr:to>
    <xdr:sp macro="" textlink="">
      <xdr:nvSpPr>
        <xdr:cNvPr id="11" name="Retângulo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3ECFBEF-3D5A-48BE-84AD-B67682CA3634}"/>
            </a:ext>
          </a:extLst>
        </xdr:cNvPr>
        <xdr:cNvSpPr/>
      </xdr:nvSpPr>
      <xdr:spPr>
        <a:xfrm>
          <a:off x="8038043" y="115357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Indicadores</a:t>
          </a:r>
        </a:p>
      </xdr:txBody>
    </xdr:sp>
    <xdr:clientData/>
  </xdr:twoCellAnchor>
  <xdr:twoCellAnchor>
    <xdr:from>
      <xdr:col>6</xdr:col>
      <xdr:colOff>428625</xdr:colOff>
      <xdr:row>3</xdr:row>
      <xdr:rowOff>161924</xdr:rowOff>
    </xdr:from>
    <xdr:to>
      <xdr:col>7</xdr:col>
      <xdr:colOff>1103842</xdr:colOff>
      <xdr:row>4</xdr:row>
      <xdr:rowOff>190499</xdr:rowOff>
    </xdr:to>
    <xdr:sp macro="" textlink="">
      <xdr:nvSpPr>
        <xdr:cNvPr id="12" name="Retângulo 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34DE74F-CBCF-494B-AFA2-55EA0E61936D}"/>
            </a:ext>
          </a:extLst>
        </xdr:cNvPr>
        <xdr:cNvSpPr/>
      </xdr:nvSpPr>
      <xdr:spPr>
        <a:xfrm>
          <a:off x="5857875" y="733424"/>
          <a:ext cx="1370542" cy="219075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C00000"/>
              </a:solidFill>
              <a:latin typeface="Cairo" panose="00000500000000000000" pitchFamily="2" charset="-78"/>
              <a:cs typeface="Cairo" panose="00000500000000000000" pitchFamily="2" charset="-78"/>
            </a:rPr>
            <a:t>Id. Organizacional</a:t>
          </a:r>
        </a:p>
      </xdr:txBody>
    </xdr:sp>
    <xdr:clientData/>
  </xdr:twoCellAnchor>
  <xdr:twoCellAnchor>
    <xdr:from>
      <xdr:col>4</xdr:col>
      <xdr:colOff>573616</xdr:colOff>
      <xdr:row>0</xdr:row>
      <xdr:rowOff>102658</xdr:rowOff>
    </xdr:from>
    <xdr:to>
      <xdr:col>7</xdr:col>
      <xdr:colOff>119591</xdr:colOff>
      <xdr:row>2</xdr:row>
      <xdr:rowOff>83608</xdr:rowOff>
    </xdr:to>
    <xdr:sp macro="" textlink="">
      <xdr:nvSpPr>
        <xdr:cNvPr id="13" name="Retângulo 1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17EA681-81B3-4CAA-8A84-E0EDB522DFFA}"/>
            </a:ext>
          </a:extLst>
        </xdr:cNvPr>
        <xdr:cNvSpPr/>
      </xdr:nvSpPr>
      <xdr:spPr>
        <a:xfrm>
          <a:off x="4602691" y="102658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Objetivos Est.</a:t>
          </a:r>
          <a:r>
            <a:rPr lang="pt-BR" sz="12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e Metas</a:t>
          </a:r>
          <a:endParaRPr lang="pt-BR" sz="12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28576</xdr:rowOff>
    </xdr:from>
    <xdr:to>
      <xdr:col>1</xdr:col>
      <xdr:colOff>371475</xdr:colOff>
      <xdr:row>5</xdr:row>
      <xdr:rowOff>31624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76EA99-FDBC-4629-B314-5E47152F9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8576"/>
          <a:ext cx="885825" cy="955548"/>
        </a:xfrm>
        <a:prstGeom prst="rect">
          <a:avLst/>
        </a:prstGeom>
      </xdr:spPr>
    </xdr:pic>
    <xdr:clientData/>
  </xdr:twoCellAnchor>
  <xdr:twoCellAnchor>
    <xdr:from>
      <xdr:col>1</xdr:col>
      <xdr:colOff>542925</xdr:colOff>
      <xdr:row>3</xdr:row>
      <xdr:rowOff>161925</xdr:rowOff>
    </xdr:from>
    <xdr:to>
      <xdr:col>5</xdr:col>
      <xdr:colOff>9525</xdr:colOff>
      <xdr:row>5</xdr:row>
      <xdr:rowOff>0</xdr:rowOff>
    </xdr:to>
    <xdr:sp macro="" textlink="">
      <xdr:nvSpPr>
        <xdr:cNvPr id="3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E212E1E-8096-4E1B-9D37-EF8770DA0819}"/>
            </a:ext>
          </a:extLst>
        </xdr:cNvPr>
        <xdr:cNvSpPr/>
      </xdr:nvSpPr>
      <xdr:spPr>
        <a:xfrm>
          <a:off x="1152525" y="733425"/>
          <a:ext cx="1362075" cy="219075"/>
        </a:xfrm>
        <a:prstGeom prst="rect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C00000"/>
              </a:solidFill>
              <a:latin typeface="Cairo" panose="00000500000000000000" pitchFamily="2" charset="-78"/>
              <a:cs typeface="Cairo" panose="00000500000000000000" pitchFamily="2" charset="-78"/>
            </a:rPr>
            <a:t>Planilha</a:t>
          </a:r>
        </a:p>
      </xdr:txBody>
    </xdr:sp>
    <xdr:clientData/>
  </xdr:twoCellAnchor>
  <xdr:twoCellAnchor>
    <xdr:from>
      <xdr:col>5</xdr:col>
      <xdr:colOff>190500</xdr:colOff>
      <xdr:row>3</xdr:row>
      <xdr:rowOff>161925</xdr:rowOff>
    </xdr:from>
    <xdr:to>
      <xdr:col>7</xdr:col>
      <xdr:colOff>333375</xdr:colOff>
      <xdr:row>5</xdr:row>
      <xdr:rowOff>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805EB60-F1E0-4821-AB4A-2560E4D62FB2}"/>
            </a:ext>
          </a:extLst>
        </xdr:cNvPr>
        <xdr:cNvSpPr/>
      </xdr:nvSpPr>
      <xdr:spPr>
        <a:xfrm>
          <a:off x="2695575" y="733425"/>
          <a:ext cx="13620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Inserir</a:t>
          </a:r>
          <a:r>
            <a:rPr lang="pt-BR" sz="1100" b="1" baseline="0">
              <a:latin typeface="Cairo" panose="00000500000000000000" pitchFamily="2" charset="-78"/>
              <a:cs typeface="Cairo" panose="00000500000000000000" pitchFamily="2" charset="-78"/>
            </a:rPr>
            <a:t> Informações</a:t>
          </a:r>
          <a:endParaRPr lang="pt-BR" sz="1100" b="1"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  <xdr:twoCellAnchor>
    <xdr:from>
      <xdr:col>1</xdr:col>
      <xdr:colOff>452965</xdr:colOff>
      <xdr:row>0</xdr:row>
      <xdr:rowOff>116416</xdr:rowOff>
    </xdr:from>
    <xdr:to>
      <xdr:col>5</xdr:col>
      <xdr:colOff>198965</xdr:colOff>
      <xdr:row>2</xdr:row>
      <xdr:rowOff>97366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8DFEB72-4828-4ED6-892F-A22D674663A6}"/>
            </a:ext>
          </a:extLst>
        </xdr:cNvPr>
        <xdr:cNvSpPr/>
      </xdr:nvSpPr>
      <xdr:spPr>
        <a:xfrm>
          <a:off x="1062565" y="116416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Cadastro</a:t>
          </a:r>
        </a:p>
      </xdr:txBody>
    </xdr:sp>
    <xdr:clientData/>
  </xdr:twoCellAnchor>
  <xdr:twoCellAnchor>
    <xdr:from>
      <xdr:col>11</xdr:col>
      <xdr:colOff>53975</xdr:colOff>
      <xdr:row>0</xdr:row>
      <xdr:rowOff>126999</xdr:rowOff>
    </xdr:from>
    <xdr:to>
      <xdr:col>14</xdr:col>
      <xdr:colOff>419100</xdr:colOff>
      <xdr:row>2</xdr:row>
      <xdr:rowOff>107949</xdr:rowOff>
    </xdr:to>
    <xdr:sp macro="" textlink="">
      <xdr:nvSpPr>
        <xdr:cNvPr id="13" name="Retângulo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6705C7E-E171-4CF3-BD76-25134A5B52E1}"/>
            </a:ext>
          </a:extLst>
        </xdr:cNvPr>
        <xdr:cNvSpPr/>
      </xdr:nvSpPr>
      <xdr:spPr>
        <a:xfrm>
          <a:off x="6216650" y="126999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5W2H</a:t>
          </a:r>
        </a:p>
      </xdr:txBody>
    </xdr:sp>
    <xdr:clientData/>
  </xdr:twoCellAnchor>
  <xdr:twoCellAnchor>
    <xdr:from>
      <xdr:col>17</xdr:col>
      <xdr:colOff>384175</xdr:colOff>
      <xdr:row>0</xdr:row>
      <xdr:rowOff>126999</xdr:rowOff>
    </xdr:from>
    <xdr:to>
      <xdr:col>20</xdr:col>
      <xdr:colOff>196850</xdr:colOff>
      <xdr:row>2</xdr:row>
      <xdr:rowOff>107949</xdr:rowOff>
    </xdr:to>
    <xdr:sp macro="" textlink="">
      <xdr:nvSpPr>
        <xdr:cNvPr id="14" name="Retângulo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1F209A5-F235-4C1A-8D70-F5CF593A26AA}"/>
            </a:ext>
          </a:extLst>
        </xdr:cNvPr>
        <xdr:cNvSpPr/>
      </xdr:nvSpPr>
      <xdr:spPr>
        <a:xfrm>
          <a:off x="9652000" y="126999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Relatórios</a:t>
          </a:r>
        </a:p>
      </xdr:txBody>
    </xdr:sp>
    <xdr:clientData/>
  </xdr:twoCellAnchor>
  <xdr:twoCellAnchor>
    <xdr:from>
      <xdr:col>20</xdr:col>
      <xdr:colOff>282575</xdr:colOff>
      <xdr:row>0</xdr:row>
      <xdr:rowOff>136524</xdr:rowOff>
    </xdr:from>
    <xdr:to>
      <xdr:col>16383</xdr:col>
      <xdr:colOff>95250</xdr:colOff>
      <xdr:row>2</xdr:row>
      <xdr:rowOff>117474</xdr:rowOff>
    </xdr:to>
    <xdr:sp macro="" textlink="">
      <xdr:nvSpPr>
        <xdr:cNvPr id="15" name="Retângul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B9B52C4-A94B-445F-BEF5-D27ADF8FF544}"/>
            </a:ext>
          </a:extLst>
        </xdr:cNvPr>
        <xdr:cNvSpPr/>
      </xdr:nvSpPr>
      <xdr:spPr>
        <a:xfrm>
          <a:off x="11379200" y="136524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Dashboard</a:t>
          </a:r>
        </a:p>
      </xdr:txBody>
    </xdr:sp>
    <xdr:clientData/>
  </xdr:twoCellAnchor>
  <xdr:twoCellAnchor>
    <xdr:from>
      <xdr:col>5</xdr:col>
      <xdr:colOff>265640</xdr:colOff>
      <xdr:row>0</xdr:row>
      <xdr:rowOff>116416</xdr:rowOff>
    </xdr:from>
    <xdr:to>
      <xdr:col>8</xdr:col>
      <xdr:colOff>78315</xdr:colOff>
      <xdr:row>2</xdr:row>
      <xdr:rowOff>97366</xdr:rowOff>
    </xdr:to>
    <xdr:sp macro="" textlink="">
      <xdr:nvSpPr>
        <xdr:cNvPr id="16" name="Retângul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D97EA7-D268-4614-8E7B-5A64208A6A41}"/>
            </a:ext>
          </a:extLst>
        </xdr:cNvPr>
        <xdr:cNvSpPr/>
      </xdr:nvSpPr>
      <xdr:spPr>
        <a:xfrm>
          <a:off x="2770715" y="116416"/>
          <a:ext cx="1641475" cy="36195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Análise de SWOT</a:t>
          </a:r>
        </a:p>
      </xdr:txBody>
    </xdr:sp>
    <xdr:clientData/>
  </xdr:twoCellAnchor>
  <xdr:twoCellAnchor>
    <xdr:from>
      <xdr:col>14</xdr:col>
      <xdr:colOff>495300</xdr:colOff>
      <xdr:row>0</xdr:row>
      <xdr:rowOff>126999</xdr:rowOff>
    </xdr:from>
    <xdr:to>
      <xdr:col>17</xdr:col>
      <xdr:colOff>307975</xdr:colOff>
      <xdr:row>2</xdr:row>
      <xdr:rowOff>107949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A9000BB-6332-488B-BCDA-E2EF857D78A5}"/>
            </a:ext>
          </a:extLst>
        </xdr:cNvPr>
        <xdr:cNvSpPr/>
      </xdr:nvSpPr>
      <xdr:spPr>
        <a:xfrm>
          <a:off x="7934325" y="126999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Indicadores</a:t>
          </a:r>
        </a:p>
      </xdr:txBody>
    </xdr:sp>
    <xdr:clientData/>
  </xdr:twoCellAnchor>
  <xdr:twoCellAnchor>
    <xdr:from>
      <xdr:col>8</xdr:col>
      <xdr:colOff>165098</xdr:colOff>
      <xdr:row>0</xdr:row>
      <xdr:rowOff>114300</xdr:rowOff>
    </xdr:from>
    <xdr:to>
      <xdr:col>10</xdr:col>
      <xdr:colOff>587373</xdr:colOff>
      <xdr:row>2</xdr:row>
      <xdr:rowOff>95250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985E825-E4A2-4EF2-8230-ED3404819529}"/>
            </a:ext>
          </a:extLst>
        </xdr:cNvPr>
        <xdr:cNvSpPr/>
      </xdr:nvSpPr>
      <xdr:spPr>
        <a:xfrm>
          <a:off x="4498973" y="114300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Objetivos Est.</a:t>
          </a:r>
          <a:r>
            <a:rPr lang="pt-BR" sz="12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e Metas</a:t>
          </a:r>
          <a:endParaRPr lang="pt-BR" sz="12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28576</xdr:rowOff>
    </xdr:from>
    <xdr:to>
      <xdr:col>1</xdr:col>
      <xdr:colOff>371475</xdr:colOff>
      <xdr:row>5</xdr:row>
      <xdr:rowOff>31624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0864C7-0EC4-4368-82B0-07E5F0EFD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8576"/>
          <a:ext cx="885825" cy="955548"/>
        </a:xfrm>
        <a:prstGeom prst="rect">
          <a:avLst/>
        </a:prstGeom>
      </xdr:spPr>
    </xdr:pic>
    <xdr:clientData/>
  </xdr:twoCellAnchor>
  <xdr:twoCellAnchor>
    <xdr:from>
      <xdr:col>1</xdr:col>
      <xdr:colOff>685800</xdr:colOff>
      <xdr:row>3</xdr:row>
      <xdr:rowOff>161925</xdr:rowOff>
    </xdr:from>
    <xdr:to>
      <xdr:col>1</xdr:col>
      <xdr:colOff>2047875</xdr:colOff>
      <xdr:row>5</xdr:row>
      <xdr:rowOff>0</xdr:rowOff>
    </xdr:to>
    <xdr:sp macro="" textlink="">
      <xdr:nvSpPr>
        <xdr:cNvPr id="12" name="Retângul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94F72C5-8328-46BA-8CAE-3AEE5C4A722D}"/>
            </a:ext>
          </a:extLst>
        </xdr:cNvPr>
        <xdr:cNvSpPr/>
      </xdr:nvSpPr>
      <xdr:spPr>
        <a:xfrm>
          <a:off x="1295400" y="733425"/>
          <a:ext cx="13620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Planilha</a:t>
          </a:r>
        </a:p>
      </xdr:txBody>
    </xdr:sp>
    <xdr:clientData/>
  </xdr:twoCellAnchor>
  <xdr:twoCellAnchor>
    <xdr:from>
      <xdr:col>1</xdr:col>
      <xdr:colOff>2228850</xdr:colOff>
      <xdr:row>3</xdr:row>
      <xdr:rowOff>161925</xdr:rowOff>
    </xdr:from>
    <xdr:to>
      <xdr:col>2</xdr:col>
      <xdr:colOff>76200</xdr:colOff>
      <xdr:row>5</xdr:row>
      <xdr:rowOff>0</xdr:rowOff>
    </xdr:to>
    <xdr:sp macro="" textlink="">
      <xdr:nvSpPr>
        <xdr:cNvPr id="13" name="Retângul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CF3E047-D643-418A-B8F2-5506FC5E0862}"/>
            </a:ext>
          </a:extLst>
        </xdr:cNvPr>
        <xdr:cNvSpPr/>
      </xdr:nvSpPr>
      <xdr:spPr>
        <a:xfrm>
          <a:off x="2838450" y="733425"/>
          <a:ext cx="1362075" cy="219075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C00000"/>
              </a:solidFill>
              <a:latin typeface="Cairo" panose="00000500000000000000" pitchFamily="2" charset="-78"/>
              <a:cs typeface="Cairo" panose="00000500000000000000" pitchFamily="2" charset="-78"/>
            </a:rPr>
            <a:t>Inserir</a:t>
          </a:r>
          <a:r>
            <a:rPr lang="pt-BR" sz="1100" b="1" baseline="0">
              <a:latin typeface="Cairo" panose="00000500000000000000" pitchFamily="2" charset="-78"/>
              <a:cs typeface="Cairo" panose="00000500000000000000" pitchFamily="2" charset="-78"/>
            </a:rPr>
            <a:t> </a:t>
          </a:r>
          <a:r>
            <a:rPr lang="pt-BR" sz="1100" b="1" baseline="0">
              <a:solidFill>
                <a:srgbClr val="C00000"/>
              </a:solidFill>
              <a:latin typeface="Cairo" panose="00000500000000000000" pitchFamily="2" charset="-78"/>
              <a:cs typeface="Cairo" panose="00000500000000000000" pitchFamily="2" charset="-78"/>
            </a:rPr>
            <a:t>Informações</a:t>
          </a:r>
          <a:endParaRPr lang="pt-BR" sz="1100" b="1">
            <a:solidFill>
              <a:srgbClr val="C00000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  <xdr:twoCellAnchor>
    <xdr:from>
      <xdr:col>1</xdr:col>
      <xdr:colOff>457200</xdr:colOff>
      <xdr:row>0</xdr:row>
      <xdr:rowOff>135466</xdr:rowOff>
    </xdr:from>
    <xdr:to>
      <xdr:col>1</xdr:col>
      <xdr:colOff>2098675</xdr:colOff>
      <xdr:row>2</xdr:row>
      <xdr:rowOff>116416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BF34F91-9C7F-4D21-8263-273E0B925A8A}"/>
            </a:ext>
          </a:extLst>
        </xdr:cNvPr>
        <xdr:cNvSpPr/>
      </xdr:nvSpPr>
      <xdr:spPr>
        <a:xfrm>
          <a:off x="1066800" y="135466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Cadastro</a:t>
          </a:r>
        </a:p>
      </xdr:txBody>
    </xdr:sp>
    <xdr:clientData/>
  </xdr:twoCellAnchor>
  <xdr:twoCellAnchor>
    <xdr:from>
      <xdr:col>3</xdr:col>
      <xdr:colOff>191560</xdr:colOff>
      <xdr:row>0</xdr:row>
      <xdr:rowOff>146049</xdr:rowOff>
    </xdr:from>
    <xdr:to>
      <xdr:col>3</xdr:col>
      <xdr:colOff>1833035</xdr:colOff>
      <xdr:row>2</xdr:row>
      <xdr:rowOff>126999</xdr:rowOff>
    </xdr:to>
    <xdr:sp macro="" textlink="">
      <xdr:nvSpPr>
        <xdr:cNvPr id="15" name="Retângulo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C800E3C-99A1-450B-ADEB-8B3C71BA4E32}"/>
            </a:ext>
          </a:extLst>
        </xdr:cNvPr>
        <xdr:cNvSpPr/>
      </xdr:nvSpPr>
      <xdr:spPr>
        <a:xfrm>
          <a:off x="6220885" y="146049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5W2H</a:t>
          </a:r>
        </a:p>
      </xdr:txBody>
    </xdr:sp>
    <xdr:clientData/>
  </xdr:twoCellAnchor>
  <xdr:twoCellAnchor>
    <xdr:from>
      <xdr:col>6</xdr:col>
      <xdr:colOff>245535</xdr:colOff>
      <xdr:row>0</xdr:row>
      <xdr:rowOff>146049</xdr:rowOff>
    </xdr:from>
    <xdr:to>
      <xdr:col>9</xdr:col>
      <xdr:colOff>58210</xdr:colOff>
      <xdr:row>2</xdr:row>
      <xdr:rowOff>126999</xdr:rowOff>
    </xdr:to>
    <xdr:sp macro="" textlink="">
      <xdr:nvSpPr>
        <xdr:cNvPr id="16" name="Retângul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D5106A9-CD97-40CD-B006-FF255B6FBD61}"/>
            </a:ext>
          </a:extLst>
        </xdr:cNvPr>
        <xdr:cNvSpPr/>
      </xdr:nvSpPr>
      <xdr:spPr>
        <a:xfrm>
          <a:off x="9656235" y="146049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Relatórios</a:t>
          </a:r>
        </a:p>
      </xdr:txBody>
    </xdr:sp>
    <xdr:clientData/>
  </xdr:twoCellAnchor>
  <xdr:twoCellAnchor>
    <xdr:from>
      <xdr:col>9</xdr:col>
      <xdr:colOff>143935</xdr:colOff>
      <xdr:row>0</xdr:row>
      <xdr:rowOff>155574</xdr:rowOff>
    </xdr:from>
    <xdr:to>
      <xdr:col>10</xdr:col>
      <xdr:colOff>1175810</xdr:colOff>
      <xdr:row>2</xdr:row>
      <xdr:rowOff>136524</xdr:rowOff>
    </xdr:to>
    <xdr:sp macro="" textlink="">
      <xdr:nvSpPr>
        <xdr:cNvPr id="17" name="Retângul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F34190B-4E42-45C0-BEEE-4AE29D749BCC}"/>
            </a:ext>
          </a:extLst>
        </xdr:cNvPr>
        <xdr:cNvSpPr/>
      </xdr:nvSpPr>
      <xdr:spPr>
        <a:xfrm>
          <a:off x="11383435" y="155574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Dashboard</a:t>
          </a:r>
        </a:p>
      </xdr:txBody>
    </xdr:sp>
    <xdr:clientData/>
  </xdr:twoCellAnchor>
  <xdr:twoCellAnchor>
    <xdr:from>
      <xdr:col>1</xdr:col>
      <xdr:colOff>2165350</xdr:colOff>
      <xdr:row>0</xdr:row>
      <xdr:rowOff>135466</xdr:rowOff>
    </xdr:from>
    <xdr:to>
      <xdr:col>2</xdr:col>
      <xdr:colOff>292100</xdr:colOff>
      <xdr:row>2</xdr:row>
      <xdr:rowOff>116416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7A9153E-B931-47E4-AEC8-C922D9A3F584}"/>
            </a:ext>
          </a:extLst>
        </xdr:cNvPr>
        <xdr:cNvSpPr/>
      </xdr:nvSpPr>
      <xdr:spPr>
        <a:xfrm>
          <a:off x="2774950" y="135466"/>
          <a:ext cx="1641475" cy="36195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Análise de SWOT</a:t>
          </a:r>
        </a:p>
      </xdr:txBody>
    </xdr:sp>
    <xdr:clientData/>
  </xdr:twoCellAnchor>
  <xdr:twoCellAnchor>
    <xdr:from>
      <xdr:col>3</xdr:col>
      <xdr:colOff>1909235</xdr:colOff>
      <xdr:row>0</xdr:row>
      <xdr:rowOff>146049</xdr:rowOff>
    </xdr:from>
    <xdr:to>
      <xdr:col>6</xdr:col>
      <xdr:colOff>169335</xdr:colOff>
      <xdr:row>2</xdr:row>
      <xdr:rowOff>126999</xdr:rowOff>
    </xdr:to>
    <xdr:sp macro="" textlink="">
      <xdr:nvSpPr>
        <xdr:cNvPr id="19" name="Retângulo 1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16A1561-49DA-403F-A775-A36409F7472A}"/>
            </a:ext>
          </a:extLst>
        </xdr:cNvPr>
        <xdr:cNvSpPr/>
      </xdr:nvSpPr>
      <xdr:spPr>
        <a:xfrm>
          <a:off x="7938560" y="146049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Indicadores</a:t>
          </a:r>
        </a:p>
      </xdr:txBody>
    </xdr:sp>
    <xdr:clientData/>
  </xdr:twoCellAnchor>
  <xdr:twoCellAnchor>
    <xdr:from>
      <xdr:col>2</xdr:col>
      <xdr:colOff>378883</xdr:colOff>
      <xdr:row>0</xdr:row>
      <xdr:rowOff>133350</xdr:rowOff>
    </xdr:from>
    <xdr:to>
      <xdr:col>3</xdr:col>
      <xdr:colOff>115358</xdr:colOff>
      <xdr:row>2</xdr:row>
      <xdr:rowOff>114300</xdr:rowOff>
    </xdr:to>
    <xdr:sp macro="" textlink="">
      <xdr:nvSpPr>
        <xdr:cNvPr id="20" name="Retângulo 1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460CDC2-AD0C-4E95-81D3-BF3131068024}"/>
            </a:ext>
          </a:extLst>
        </xdr:cNvPr>
        <xdr:cNvSpPr/>
      </xdr:nvSpPr>
      <xdr:spPr>
        <a:xfrm>
          <a:off x="4503208" y="133350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Objetivos Est.</a:t>
          </a:r>
          <a:r>
            <a:rPr lang="pt-BR" sz="12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e Metas</a:t>
          </a:r>
          <a:endParaRPr lang="pt-BR" sz="12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28575</xdr:rowOff>
    </xdr:from>
    <xdr:to>
      <xdr:col>1</xdr:col>
      <xdr:colOff>347133</xdr:colOff>
      <xdr:row>5</xdr:row>
      <xdr:rowOff>31623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E06CEF-A318-4002-80F9-E6491D7D0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8575"/>
          <a:ext cx="890058" cy="955548"/>
        </a:xfrm>
        <a:prstGeom prst="rect">
          <a:avLst/>
        </a:prstGeom>
      </xdr:spPr>
    </xdr:pic>
    <xdr:clientData/>
  </xdr:twoCellAnchor>
  <xdr:twoCellAnchor>
    <xdr:from>
      <xdr:col>2</xdr:col>
      <xdr:colOff>17992</xdr:colOff>
      <xdr:row>3</xdr:row>
      <xdr:rowOff>161924</xdr:rowOff>
    </xdr:from>
    <xdr:to>
      <xdr:col>4</xdr:col>
      <xdr:colOff>400050</xdr:colOff>
      <xdr:row>4</xdr:row>
      <xdr:rowOff>180975</xdr:rowOff>
    </xdr:to>
    <xdr:sp macro="" textlink="">
      <xdr:nvSpPr>
        <xdr:cNvPr id="3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C943CF6-AD2F-49BB-9A86-999E395949D2}"/>
            </a:ext>
          </a:extLst>
        </xdr:cNvPr>
        <xdr:cNvSpPr/>
      </xdr:nvSpPr>
      <xdr:spPr>
        <a:xfrm>
          <a:off x="1237192" y="733424"/>
          <a:ext cx="1601258" cy="209551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Objetivos Estratégicos</a:t>
          </a:r>
        </a:p>
      </xdr:txBody>
    </xdr:sp>
    <xdr:clientData/>
  </xdr:twoCellAnchor>
  <xdr:twoCellAnchor>
    <xdr:from>
      <xdr:col>5</xdr:col>
      <xdr:colOff>7408</xdr:colOff>
      <xdr:row>3</xdr:row>
      <xdr:rowOff>161924</xdr:rowOff>
    </xdr:from>
    <xdr:to>
      <xdr:col>7</xdr:col>
      <xdr:colOff>158750</xdr:colOff>
      <xdr:row>4</xdr:row>
      <xdr:rowOff>190499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99F19CB-2802-4E10-BFBB-2DDF8F396021}"/>
            </a:ext>
          </a:extLst>
        </xdr:cNvPr>
        <xdr:cNvSpPr/>
      </xdr:nvSpPr>
      <xdr:spPr>
        <a:xfrm>
          <a:off x="3055408" y="733424"/>
          <a:ext cx="1370542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Metas</a:t>
          </a:r>
        </a:p>
      </xdr:txBody>
    </xdr:sp>
    <xdr:clientData/>
  </xdr:twoCellAnchor>
  <xdr:twoCellAnchor>
    <xdr:from>
      <xdr:col>1</xdr:col>
      <xdr:colOff>537633</xdr:colOff>
      <xdr:row>0</xdr:row>
      <xdr:rowOff>95249</xdr:rowOff>
    </xdr:from>
    <xdr:to>
      <xdr:col>4</xdr:col>
      <xdr:colOff>350308</xdr:colOff>
      <xdr:row>2</xdr:row>
      <xdr:rowOff>76199</xdr:rowOff>
    </xdr:to>
    <xdr:sp macro="" textlink="">
      <xdr:nvSpPr>
        <xdr:cNvPr id="5" name="Retâ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1ABBBB1-D185-45B2-B03E-8655F107929D}"/>
            </a:ext>
          </a:extLst>
        </xdr:cNvPr>
        <xdr:cNvSpPr/>
      </xdr:nvSpPr>
      <xdr:spPr>
        <a:xfrm>
          <a:off x="1147233" y="95249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Cadastro</a:t>
          </a:r>
        </a:p>
      </xdr:txBody>
    </xdr:sp>
    <xdr:clientData/>
  </xdr:twoCellAnchor>
  <xdr:twoCellAnchor>
    <xdr:from>
      <xdr:col>10</xdr:col>
      <xdr:colOff>205318</xdr:colOff>
      <xdr:row>0</xdr:row>
      <xdr:rowOff>105832</xdr:rowOff>
    </xdr:from>
    <xdr:to>
      <xdr:col>13</xdr:col>
      <xdr:colOff>17993</xdr:colOff>
      <xdr:row>2</xdr:row>
      <xdr:rowOff>86782</xdr:rowOff>
    </xdr:to>
    <xdr:sp macro="" textlink="">
      <xdr:nvSpPr>
        <xdr:cNvPr id="6" name="Retâ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7511E71-38DB-4EDB-823D-C8AB4E37AB7A}"/>
            </a:ext>
          </a:extLst>
        </xdr:cNvPr>
        <xdr:cNvSpPr/>
      </xdr:nvSpPr>
      <xdr:spPr>
        <a:xfrm>
          <a:off x="6301318" y="105832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5W2H</a:t>
          </a:r>
        </a:p>
      </xdr:txBody>
    </xdr:sp>
    <xdr:clientData/>
  </xdr:twoCellAnchor>
  <xdr:twoCellAnchor>
    <xdr:from>
      <xdr:col>15</xdr:col>
      <xdr:colOff>592668</xdr:colOff>
      <xdr:row>0</xdr:row>
      <xdr:rowOff>105832</xdr:rowOff>
    </xdr:from>
    <xdr:to>
      <xdr:col>18</xdr:col>
      <xdr:colOff>405343</xdr:colOff>
      <xdr:row>2</xdr:row>
      <xdr:rowOff>86782</xdr:rowOff>
    </xdr:to>
    <xdr:sp macro="" textlink="">
      <xdr:nvSpPr>
        <xdr:cNvPr id="7" name="Retâ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FBFBB73-8291-4ADA-BF6D-314292C561AA}"/>
            </a:ext>
          </a:extLst>
        </xdr:cNvPr>
        <xdr:cNvSpPr/>
      </xdr:nvSpPr>
      <xdr:spPr>
        <a:xfrm>
          <a:off x="9736668" y="105832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Relatórios</a:t>
          </a:r>
        </a:p>
      </xdr:txBody>
    </xdr:sp>
    <xdr:clientData/>
  </xdr:twoCellAnchor>
  <xdr:twoCellAnchor>
    <xdr:from>
      <xdr:col>18</xdr:col>
      <xdr:colOff>491068</xdr:colOff>
      <xdr:row>0</xdr:row>
      <xdr:rowOff>115357</xdr:rowOff>
    </xdr:from>
    <xdr:to>
      <xdr:col>21</xdr:col>
      <xdr:colOff>303743</xdr:colOff>
      <xdr:row>2</xdr:row>
      <xdr:rowOff>96307</xdr:rowOff>
    </xdr:to>
    <xdr:sp macro="" textlink="">
      <xdr:nvSpPr>
        <xdr:cNvPr id="8" name="Retâ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76410B1-3FCA-4500-9EA4-2CAF1165FC6D}"/>
            </a:ext>
          </a:extLst>
        </xdr:cNvPr>
        <xdr:cNvSpPr/>
      </xdr:nvSpPr>
      <xdr:spPr>
        <a:xfrm>
          <a:off x="11463868" y="115357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Dashboard</a:t>
          </a:r>
        </a:p>
      </xdr:txBody>
    </xdr:sp>
    <xdr:clientData/>
  </xdr:twoCellAnchor>
  <xdr:twoCellAnchor>
    <xdr:from>
      <xdr:col>4</xdr:col>
      <xdr:colOff>416983</xdr:colOff>
      <xdr:row>0</xdr:row>
      <xdr:rowOff>95249</xdr:rowOff>
    </xdr:from>
    <xdr:to>
      <xdr:col>7</xdr:col>
      <xdr:colOff>229658</xdr:colOff>
      <xdr:row>2</xdr:row>
      <xdr:rowOff>76199</xdr:rowOff>
    </xdr:to>
    <xdr:sp macro="" textlink="">
      <xdr:nvSpPr>
        <xdr:cNvPr id="9" name="Retângulo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1821990-A9B0-44F3-AE44-930AD558560F}"/>
            </a:ext>
          </a:extLst>
        </xdr:cNvPr>
        <xdr:cNvSpPr/>
      </xdr:nvSpPr>
      <xdr:spPr>
        <a:xfrm>
          <a:off x="2855383" y="95249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Análise de SWOT</a:t>
          </a:r>
        </a:p>
      </xdr:txBody>
    </xdr:sp>
    <xdr:clientData/>
  </xdr:twoCellAnchor>
  <xdr:twoCellAnchor>
    <xdr:from>
      <xdr:col>13</xdr:col>
      <xdr:colOff>94193</xdr:colOff>
      <xdr:row>0</xdr:row>
      <xdr:rowOff>105832</xdr:rowOff>
    </xdr:from>
    <xdr:to>
      <xdr:col>15</xdr:col>
      <xdr:colOff>516468</xdr:colOff>
      <xdr:row>2</xdr:row>
      <xdr:rowOff>86782</xdr:rowOff>
    </xdr:to>
    <xdr:sp macro="" textlink="">
      <xdr:nvSpPr>
        <xdr:cNvPr id="10" name="Retângulo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A775E08-B1CE-4031-A51F-091A7A1EE12A}"/>
            </a:ext>
          </a:extLst>
        </xdr:cNvPr>
        <xdr:cNvSpPr/>
      </xdr:nvSpPr>
      <xdr:spPr>
        <a:xfrm>
          <a:off x="8018993" y="105832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Indicadores</a:t>
          </a:r>
        </a:p>
      </xdr:txBody>
    </xdr:sp>
    <xdr:clientData/>
  </xdr:twoCellAnchor>
  <xdr:twoCellAnchor>
    <xdr:from>
      <xdr:col>7</xdr:col>
      <xdr:colOff>316441</xdr:colOff>
      <xdr:row>0</xdr:row>
      <xdr:rowOff>93133</xdr:rowOff>
    </xdr:from>
    <xdr:to>
      <xdr:col>10</xdr:col>
      <xdr:colOff>129116</xdr:colOff>
      <xdr:row>2</xdr:row>
      <xdr:rowOff>74083</xdr:rowOff>
    </xdr:to>
    <xdr:sp macro="" textlink="">
      <xdr:nvSpPr>
        <xdr:cNvPr id="11" name="Retângulo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498922D-8898-489A-B6F9-FD7B2ADEC4BC}"/>
            </a:ext>
          </a:extLst>
        </xdr:cNvPr>
        <xdr:cNvSpPr/>
      </xdr:nvSpPr>
      <xdr:spPr>
        <a:xfrm>
          <a:off x="4583641" y="93133"/>
          <a:ext cx="1641475" cy="36195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Objetivos Est.</a:t>
          </a:r>
          <a:r>
            <a:rPr lang="pt-BR" sz="12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e Metas</a:t>
          </a:r>
          <a:endParaRPr lang="pt-BR" sz="12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  <xdr:twoCellAnchor>
    <xdr:from>
      <xdr:col>7</xdr:col>
      <xdr:colOff>359833</xdr:colOff>
      <xdr:row>3</xdr:row>
      <xdr:rowOff>161924</xdr:rowOff>
    </xdr:from>
    <xdr:to>
      <xdr:col>9</xdr:col>
      <xdr:colOff>511175</xdr:colOff>
      <xdr:row>4</xdr:row>
      <xdr:rowOff>190499</xdr:rowOff>
    </xdr:to>
    <xdr:sp macro="" textlink="">
      <xdr:nvSpPr>
        <xdr:cNvPr id="12" name="Retângulo 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BAB8EEB-3E32-4479-9247-7DDE94ED9839}"/>
            </a:ext>
          </a:extLst>
        </xdr:cNvPr>
        <xdr:cNvSpPr/>
      </xdr:nvSpPr>
      <xdr:spPr>
        <a:xfrm>
          <a:off x="4627033" y="733424"/>
          <a:ext cx="1370542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Controle de</a:t>
          </a:r>
          <a:r>
            <a:rPr lang="pt-BR" sz="1100" b="1" baseline="0">
              <a:latin typeface="Cairo" panose="00000500000000000000" pitchFamily="2" charset="-78"/>
              <a:cs typeface="Cairo" panose="00000500000000000000" pitchFamily="2" charset="-78"/>
            </a:rPr>
            <a:t> Metas</a:t>
          </a:r>
          <a:endParaRPr lang="pt-BR" sz="1100" b="1"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28575</xdr:rowOff>
    </xdr:from>
    <xdr:to>
      <xdr:col>1</xdr:col>
      <xdr:colOff>328083</xdr:colOff>
      <xdr:row>5</xdr:row>
      <xdr:rowOff>31623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345E96-3BB0-431C-8B24-AB0C783F5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8575"/>
          <a:ext cx="890058" cy="955548"/>
        </a:xfrm>
        <a:prstGeom prst="rect">
          <a:avLst/>
        </a:prstGeom>
      </xdr:spPr>
    </xdr:pic>
    <xdr:clientData/>
  </xdr:twoCellAnchor>
  <xdr:twoCellAnchor>
    <xdr:from>
      <xdr:col>1</xdr:col>
      <xdr:colOff>608542</xdr:colOff>
      <xdr:row>3</xdr:row>
      <xdr:rowOff>161924</xdr:rowOff>
    </xdr:from>
    <xdr:to>
      <xdr:col>1</xdr:col>
      <xdr:colOff>2209800</xdr:colOff>
      <xdr:row>4</xdr:row>
      <xdr:rowOff>180975</xdr:rowOff>
    </xdr:to>
    <xdr:sp macro="" textlink="">
      <xdr:nvSpPr>
        <xdr:cNvPr id="3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9F4E25-BA22-4858-8384-BB96E90838A2}"/>
            </a:ext>
          </a:extLst>
        </xdr:cNvPr>
        <xdr:cNvSpPr/>
      </xdr:nvSpPr>
      <xdr:spPr>
        <a:xfrm>
          <a:off x="1218142" y="733424"/>
          <a:ext cx="1601258" cy="209551"/>
        </a:xfrm>
        <a:prstGeom prst="rect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C00000"/>
              </a:solidFill>
              <a:latin typeface="Cairo" panose="00000500000000000000" pitchFamily="2" charset="-78"/>
              <a:cs typeface="Cairo" panose="00000500000000000000" pitchFamily="2" charset="-78"/>
            </a:rPr>
            <a:t>Objetivos Estratégicos</a:t>
          </a:r>
        </a:p>
      </xdr:txBody>
    </xdr:sp>
    <xdr:clientData/>
  </xdr:twoCellAnchor>
  <xdr:twoCellAnchor>
    <xdr:from>
      <xdr:col>1</xdr:col>
      <xdr:colOff>2426758</xdr:colOff>
      <xdr:row>3</xdr:row>
      <xdr:rowOff>161924</xdr:rowOff>
    </xdr:from>
    <xdr:to>
      <xdr:col>1</xdr:col>
      <xdr:colOff>3797300</xdr:colOff>
      <xdr:row>4</xdr:row>
      <xdr:rowOff>190499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BCAE0F1-EFC1-4193-B44A-B768BD2EA002}"/>
            </a:ext>
          </a:extLst>
        </xdr:cNvPr>
        <xdr:cNvSpPr/>
      </xdr:nvSpPr>
      <xdr:spPr>
        <a:xfrm>
          <a:off x="3036358" y="733424"/>
          <a:ext cx="1370542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Metas</a:t>
          </a:r>
        </a:p>
      </xdr:txBody>
    </xdr:sp>
    <xdr:clientData/>
  </xdr:twoCellAnchor>
  <xdr:twoCellAnchor>
    <xdr:from>
      <xdr:col>1</xdr:col>
      <xdr:colOff>518583</xdr:colOff>
      <xdr:row>0</xdr:row>
      <xdr:rowOff>95249</xdr:rowOff>
    </xdr:from>
    <xdr:to>
      <xdr:col>1</xdr:col>
      <xdr:colOff>2160058</xdr:colOff>
      <xdr:row>2</xdr:row>
      <xdr:rowOff>76199</xdr:rowOff>
    </xdr:to>
    <xdr:sp macro="" textlink="">
      <xdr:nvSpPr>
        <xdr:cNvPr id="5" name="Retâ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D69D36C-4BF2-431E-B5C0-222FCDFDD3FC}"/>
            </a:ext>
          </a:extLst>
        </xdr:cNvPr>
        <xdr:cNvSpPr/>
      </xdr:nvSpPr>
      <xdr:spPr>
        <a:xfrm>
          <a:off x="1128183" y="95249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Cadastro</a:t>
          </a:r>
        </a:p>
      </xdr:txBody>
    </xdr:sp>
    <xdr:clientData/>
  </xdr:twoCellAnchor>
  <xdr:twoCellAnchor>
    <xdr:from>
      <xdr:col>1</xdr:col>
      <xdr:colOff>5672668</xdr:colOff>
      <xdr:row>0</xdr:row>
      <xdr:rowOff>105832</xdr:rowOff>
    </xdr:from>
    <xdr:to>
      <xdr:col>1</xdr:col>
      <xdr:colOff>7314143</xdr:colOff>
      <xdr:row>2</xdr:row>
      <xdr:rowOff>86782</xdr:rowOff>
    </xdr:to>
    <xdr:sp macro="" textlink="">
      <xdr:nvSpPr>
        <xdr:cNvPr id="6" name="Retâ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58B6B75-FC52-464E-A3A6-B5D244CE8476}"/>
            </a:ext>
          </a:extLst>
        </xdr:cNvPr>
        <xdr:cNvSpPr/>
      </xdr:nvSpPr>
      <xdr:spPr>
        <a:xfrm>
          <a:off x="6282268" y="105832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5W2H</a:t>
          </a:r>
        </a:p>
      </xdr:txBody>
    </xdr:sp>
    <xdr:clientData/>
  </xdr:twoCellAnchor>
  <xdr:twoCellAnchor>
    <xdr:from>
      <xdr:col>3</xdr:col>
      <xdr:colOff>335493</xdr:colOff>
      <xdr:row>0</xdr:row>
      <xdr:rowOff>105832</xdr:rowOff>
    </xdr:from>
    <xdr:to>
      <xdr:col>6</xdr:col>
      <xdr:colOff>148168</xdr:colOff>
      <xdr:row>2</xdr:row>
      <xdr:rowOff>86782</xdr:rowOff>
    </xdr:to>
    <xdr:sp macro="" textlink="">
      <xdr:nvSpPr>
        <xdr:cNvPr id="7" name="Retâ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0E90647-8C7D-419A-B7A9-6DC4DDFA704E}"/>
            </a:ext>
          </a:extLst>
        </xdr:cNvPr>
        <xdr:cNvSpPr/>
      </xdr:nvSpPr>
      <xdr:spPr>
        <a:xfrm>
          <a:off x="9717618" y="105832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Relatórios</a:t>
          </a:r>
        </a:p>
      </xdr:txBody>
    </xdr:sp>
    <xdr:clientData/>
  </xdr:twoCellAnchor>
  <xdr:twoCellAnchor>
    <xdr:from>
      <xdr:col>6</xdr:col>
      <xdr:colOff>233893</xdr:colOff>
      <xdr:row>0</xdr:row>
      <xdr:rowOff>115357</xdr:rowOff>
    </xdr:from>
    <xdr:to>
      <xdr:col>9</xdr:col>
      <xdr:colOff>46568</xdr:colOff>
      <xdr:row>2</xdr:row>
      <xdr:rowOff>96307</xdr:rowOff>
    </xdr:to>
    <xdr:sp macro="" textlink="">
      <xdr:nvSpPr>
        <xdr:cNvPr id="8" name="Retâ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214C7F8-3A6D-43C7-9F25-1DE2ACEAEA38}"/>
            </a:ext>
          </a:extLst>
        </xdr:cNvPr>
        <xdr:cNvSpPr/>
      </xdr:nvSpPr>
      <xdr:spPr>
        <a:xfrm>
          <a:off x="11444818" y="115357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Dashboard</a:t>
          </a:r>
        </a:p>
      </xdr:txBody>
    </xdr:sp>
    <xdr:clientData/>
  </xdr:twoCellAnchor>
  <xdr:twoCellAnchor>
    <xdr:from>
      <xdr:col>1</xdr:col>
      <xdr:colOff>2226733</xdr:colOff>
      <xdr:row>0</xdr:row>
      <xdr:rowOff>95249</xdr:rowOff>
    </xdr:from>
    <xdr:to>
      <xdr:col>1</xdr:col>
      <xdr:colOff>3868208</xdr:colOff>
      <xdr:row>2</xdr:row>
      <xdr:rowOff>76199</xdr:rowOff>
    </xdr:to>
    <xdr:sp macro="" textlink="">
      <xdr:nvSpPr>
        <xdr:cNvPr id="9" name="Retângulo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D142203-FCFE-4928-81DC-E11FD0C21DB9}"/>
            </a:ext>
          </a:extLst>
        </xdr:cNvPr>
        <xdr:cNvSpPr/>
      </xdr:nvSpPr>
      <xdr:spPr>
        <a:xfrm>
          <a:off x="2836333" y="95249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Análise de SWOT</a:t>
          </a:r>
        </a:p>
      </xdr:txBody>
    </xdr:sp>
    <xdr:clientData/>
  </xdr:twoCellAnchor>
  <xdr:twoCellAnchor>
    <xdr:from>
      <xdr:col>1</xdr:col>
      <xdr:colOff>7390343</xdr:colOff>
      <xdr:row>0</xdr:row>
      <xdr:rowOff>105832</xdr:rowOff>
    </xdr:from>
    <xdr:to>
      <xdr:col>3</xdr:col>
      <xdr:colOff>259293</xdr:colOff>
      <xdr:row>2</xdr:row>
      <xdr:rowOff>86782</xdr:rowOff>
    </xdr:to>
    <xdr:sp macro="" textlink="">
      <xdr:nvSpPr>
        <xdr:cNvPr id="10" name="Retângulo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16A78EC-B10A-40A1-B7E2-337ECF08E6A4}"/>
            </a:ext>
          </a:extLst>
        </xdr:cNvPr>
        <xdr:cNvSpPr/>
      </xdr:nvSpPr>
      <xdr:spPr>
        <a:xfrm>
          <a:off x="7999943" y="105832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Indicadores</a:t>
          </a:r>
        </a:p>
      </xdr:txBody>
    </xdr:sp>
    <xdr:clientData/>
  </xdr:twoCellAnchor>
  <xdr:twoCellAnchor>
    <xdr:from>
      <xdr:col>1</xdr:col>
      <xdr:colOff>3954991</xdr:colOff>
      <xdr:row>0</xdr:row>
      <xdr:rowOff>93133</xdr:rowOff>
    </xdr:from>
    <xdr:to>
      <xdr:col>1</xdr:col>
      <xdr:colOff>5596466</xdr:colOff>
      <xdr:row>2</xdr:row>
      <xdr:rowOff>74083</xdr:rowOff>
    </xdr:to>
    <xdr:sp macro="" textlink="">
      <xdr:nvSpPr>
        <xdr:cNvPr id="11" name="Retângulo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78F8127-ED56-46AB-AC26-B86EC102BB06}"/>
            </a:ext>
          </a:extLst>
        </xdr:cNvPr>
        <xdr:cNvSpPr/>
      </xdr:nvSpPr>
      <xdr:spPr>
        <a:xfrm>
          <a:off x="4564591" y="93133"/>
          <a:ext cx="1641475" cy="36195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Objetivos Est.</a:t>
          </a:r>
          <a:r>
            <a:rPr lang="pt-BR" sz="12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e Metas</a:t>
          </a:r>
          <a:endParaRPr lang="pt-BR" sz="12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  <xdr:twoCellAnchor>
    <xdr:from>
      <xdr:col>1</xdr:col>
      <xdr:colOff>3998383</xdr:colOff>
      <xdr:row>3</xdr:row>
      <xdr:rowOff>161924</xdr:rowOff>
    </xdr:from>
    <xdr:to>
      <xdr:col>1</xdr:col>
      <xdr:colOff>5368925</xdr:colOff>
      <xdr:row>4</xdr:row>
      <xdr:rowOff>190499</xdr:rowOff>
    </xdr:to>
    <xdr:sp macro="" textlink="">
      <xdr:nvSpPr>
        <xdr:cNvPr id="12" name="Retângulo 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D00B7B-26CA-47FF-80DF-9B82BDC66DFD}"/>
            </a:ext>
          </a:extLst>
        </xdr:cNvPr>
        <xdr:cNvSpPr/>
      </xdr:nvSpPr>
      <xdr:spPr>
        <a:xfrm>
          <a:off x="4607983" y="733424"/>
          <a:ext cx="1370542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Controle de</a:t>
          </a:r>
          <a:r>
            <a:rPr lang="pt-BR" sz="1100" b="1" baseline="0">
              <a:latin typeface="Cairo" panose="00000500000000000000" pitchFamily="2" charset="-78"/>
              <a:cs typeface="Cairo" panose="00000500000000000000" pitchFamily="2" charset="-78"/>
            </a:rPr>
            <a:t> Metas</a:t>
          </a:r>
          <a:endParaRPr lang="pt-BR" sz="1100" b="1"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9525</xdr:rowOff>
    </xdr:from>
    <xdr:to>
      <xdr:col>1</xdr:col>
      <xdr:colOff>509058</xdr:colOff>
      <xdr:row>5</xdr:row>
      <xdr:rowOff>12573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1E86C4-371F-45BB-A6B2-691DC11384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9525"/>
          <a:ext cx="890058" cy="965073"/>
        </a:xfrm>
        <a:prstGeom prst="rect">
          <a:avLst/>
        </a:prstGeom>
      </xdr:spPr>
    </xdr:pic>
    <xdr:clientData/>
  </xdr:twoCellAnchor>
  <xdr:twoCellAnchor>
    <xdr:from>
      <xdr:col>2</xdr:col>
      <xdr:colOff>37042</xdr:colOff>
      <xdr:row>3</xdr:row>
      <xdr:rowOff>161924</xdr:rowOff>
    </xdr:from>
    <xdr:to>
      <xdr:col>2</xdr:col>
      <xdr:colOff>1638300</xdr:colOff>
      <xdr:row>4</xdr:row>
      <xdr:rowOff>180975</xdr:rowOff>
    </xdr:to>
    <xdr:sp macro="" textlink="">
      <xdr:nvSpPr>
        <xdr:cNvPr id="3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297CD54-33D3-403C-A3C6-53A17AAE93B5}"/>
            </a:ext>
          </a:extLst>
        </xdr:cNvPr>
        <xdr:cNvSpPr/>
      </xdr:nvSpPr>
      <xdr:spPr>
        <a:xfrm>
          <a:off x="1256242" y="742949"/>
          <a:ext cx="1601258" cy="209551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Objetivos Estratégicos</a:t>
          </a:r>
        </a:p>
      </xdr:txBody>
    </xdr:sp>
    <xdr:clientData/>
  </xdr:twoCellAnchor>
  <xdr:twoCellAnchor>
    <xdr:from>
      <xdr:col>2</xdr:col>
      <xdr:colOff>1855258</xdr:colOff>
      <xdr:row>3</xdr:row>
      <xdr:rowOff>161924</xdr:rowOff>
    </xdr:from>
    <xdr:to>
      <xdr:col>3</xdr:col>
      <xdr:colOff>406400</xdr:colOff>
      <xdr:row>4</xdr:row>
      <xdr:rowOff>190499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D99E30F-194B-460F-A290-3CC490F09881}"/>
            </a:ext>
          </a:extLst>
        </xdr:cNvPr>
        <xdr:cNvSpPr/>
      </xdr:nvSpPr>
      <xdr:spPr>
        <a:xfrm>
          <a:off x="3074458" y="742949"/>
          <a:ext cx="1370542" cy="219075"/>
        </a:xfrm>
        <a:prstGeom prst="rect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C00000"/>
              </a:solidFill>
              <a:latin typeface="Cairo" panose="00000500000000000000" pitchFamily="2" charset="-78"/>
              <a:cs typeface="Cairo" panose="00000500000000000000" pitchFamily="2" charset="-78"/>
            </a:rPr>
            <a:t>Metas</a:t>
          </a:r>
        </a:p>
      </xdr:txBody>
    </xdr:sp>
    <xdr:clientData/>
  </xdr:twoCellAnchor>
  <xdr:twoCellAnchor>
    <xdr:from>
      <xdr:col>1</xdr:col>
      <xdr:colOff>556683</xdr:colOff>
      <xdr:row>0</xdr:row>
      <xdr:rowOff>104774</xdr:rowOff>
    </xdr:from>
    <xdr:to>
      <xdr:col>2</xdr:col>
      <xdr:colOff>1588558</xdr:colOff>
      <xdr:row>2</xdr:row>
      <xdr:rowOff>76199</xdr:rowOff>
    </xdr:to>
    <xdr:sp macro="" textlink="">
      <xdr:nvSpPr>
        <xdr:cNvPr id="5" name="Retâ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8ACEBE6-00E6-419E-A9EF-19222E689CF5}"/>
            </a:ext>
          </a:extLst>
        </xdr:cNvPr>
        <xdr:cNvSpPr/>
      </xdr:nvSpPr>
      <xdr:spPr>
        <a:xfrm>
          <a:off x="1166283" y="104774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Cadastro</a:t>
          </a:r>
        </a:p>
      </xdr:txBody>
    </xdr:sp>
    <xdr:clientData/>
  </xdr:twoCellAnchor>
  <xdr:twoCellAnchor>
    <xdr:from>
      <xdr:col>3</xdr:col>
      <xdr:colOff>2281768</xdr:colOff>
      <xdr:row>0</xdr:row>
      <xdr:rowOff>115357</xdr:rowOff>
    </xdr:from>
    <xdr:to>
      <xdr:col>4</xdr:col>
      <xdr:colOff>408518</xdr:colOff>
      <xdr:row>2</xdr:row>
      <xdr:rowOff>86782</xdr:rowOff>
    </xdr:to>
    <xdr:sp macro="" textlink="">
      <xdr:nvSpPr>
        <xdr:cNvPr id="6" name="Retâ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CE174FE-F1CD-4449-9519-8F2C53EE7290}"/>
            </a:ext>
          </a:extLst>
        </xdr:cNvPr>
        <xdr:cNvSpPr/>
      </xdr:nvSpPr>
      <xdr:spPr>
        <a:xfrm>
          <a:off x="6320368" y="115357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5W2H</a:t>
          </a:r>
        </a:p>
      </xdr:txBody>
    </xdr:sp>
    <xdr:clientData/>
  </xdr:twoCellAnchor>
  <xdr:twoCellAnchor>
    <xdr:from>
      <xdr:col>4</xdr:col>
      <xdr:colOff>2202393</xdr:colOff>
      <xdr:row>0</xdr:row>
      <xdr:rowOff>115357</xdr:rowOff>
    </xdr:from>
    <xdr:to>
      <xdr:col>5</xdr:col>
      <xdr:colOff>329143</xdr:colOff>
      <xdr:row>2</xdr:row>
      <xdr:rowOff>86782</xdr:rowOff>
    </xdr:to>
    <xdr:sp macro="" textlink="">
      <xdr:nvSpPr>
        <xdr:cNvPr id="7" name="Retâ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A036758-079D-465D-9451-8D0E3469259F}"/>
            </a:ext>
          </a:extLst>
        </xdr:cNvPr>
        <xdr:cNvSpPr/>
      </xdr:nvSpPr>
      <xdr:spPr>
        <a:xfrm>
          <a:off x="9755718" y="115357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Relatórios</a:t>
          </a:r>
        </a:p>
      </xdr:txBody>
    </xdr:sp>
    <xdr:clientData/>
  </xdr:twoCellAnchor>
  <xdr:twoCellAnchor>
    <xdr:from>
      <xdr:col>5</xdr:col>
      <xdr:colOff>414868</xdr:colOff>
      <xdr:row>0</xdr:row>
      <xdr:rowOff>124882</xdr:rowOff>
    </xdr:from>
    <xdr:to>
      <xdr:col>5</xdr:col>
      <xdr:colOff>2056343</xdr:colOff>
      <xdr:row>2</xdr:row>
      <xdr:rowOff>96307</xdr:rowOff>
    </xdr:to>
    <xdr:sp macro="" textlink="">
      <xdr:nvSpPr>
        <xdr:cNvPr id="8" name="Retâ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035D342-B9C9-471E-B210-D0B15A72BA2E}"/>
            </a:ext>
          </a:extLst>
        </xdr:cNvPr>
        <xdr:cNvSpPr/>
      </xdr:nvSpPr>
      <xdr:spPr>
        <a:xfrm>
          <a:off x="11482918" y="124882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Dashboard</a:t>
          </a:r>
        </a:p>
      </xdr:txBody>
    </xdr:sp>
    <xdr:clientData/>
  </xdr:twoCellAnchor>
  <xdr:twoCellAnchor>
    <xdr:from>
      <xdr:col>2</xdr:col>
      <xdr:colOff>1655233</xdr:colOff>
      <xdr:row>0</xdr:row>
      <xdr:rowOff>104774</xdr:rowOff>
    </xdr:from>
    <xdr:to>
      <xdr:col>3</xdr:col>
      <xdr:colOff>477308</xdr:colOff>
      <xdr:row>2</xdr:row>
      <xdr:rowOff>76199</xdr:rowOff>
    </xdr:to>
    <xdr:sp macro="" textlink="">
      <xdr:nvSpPr>
        <xdr:cNvPr id="9" name="Retângulo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FE6F4FC-F360-498C-A25C-537EA8D5423D}"/>
            </a:ext>
          </a:extLst>
        </xdr:cNvPr>
        <xdr:cNvSpPr/>
      </xdr:nvSpPr>
      <xdr:spPr>
        <a:xfrm>
          <a:off x="2874433" y="104774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Análise de SWOT</a:t>
          </a:r>
        </a:p>
      </xdr:txBody>
    </xdr:sp>
    <xdr:clientData/>
  </xdr:twoCellAnchor>
  <xdr:twoCellAnchor>
    <xdr:from>
      <xdr:col>4</xdr:col>
      <xdr:colOff>484718</xdr:colOff>
      <xdr:row>0</xdr:row>
      <xdr:rowOff>115357</xdr:rowOff>
    </xdr:from>
    <xdr:to>
      <xdr:col>4</xdr:col>
      <xdr:colOff>2126193</xdr:colOff>
      <xdr:row>2</xdr:row>
      <xdr:rowOff>86782</xdr:rowOff>
    </xdr:to>
    <xdr:sp macro="" textlink="">
      <xdr:nvSpPr>
        <xdr:cNvPr id="10" name="Retângulo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5DC0A9A-1C2B-44F4-B332-9C1174D55710}"/>
            </a:ext>
          </a:extLst>
        </xdr:cNvPr>
        <xdr:cNvSpPr/>
      </xdr:nvSpPr>
      <xdr:spPr>
        <a:xfrm>
          <a:off x="8038043" y="115357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Indicadores</a:t>
          </a:r>
        </a:p>
      </xdr:txBody>
    </xdr:sp>
    <xdr:clientData/>
  </xdr:twoCellAnchor>
  <xdr:twoCellAnchor>
    <xdr:from>
      <xdr:col>3</xdr:col>
      <xdr:colOff>564091</xdr:colOff>
      <xdr:row>0</xdr:row>
      <xdr:rowOff>102658</xdr:rowOff>
    </xdr:from>
    <xdr:to>
      <xdr:col>3</xdr:col>
      <xdr:colOff>2205566</xdr:colOff>
      <xdr:row>2</xdr:row>
      <xdr:rowOff>74083</xdr:rowOff>
    </xdr:to>
    <xdr:sp macro="" textlink="">
      <xdr:nvSpPr>
        <xdr:cNvPr id="11" name="Retângulo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7758A8A-5D55-4413-A04C-21A9D5AC70CC}"/>
            </a:ext>
          </a:extLst>
        </xdr:cNvPr>
        <xdr:cNvSpPr/>
      </xdr:nvSpPr>
      <xdr:spPr>
        <a:xfrm>
          <a:off x="4602691" y="102658"/>
          <a:ext cx="1641475" cy="36195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Objetivos Est.</a:t>
          </a:r>
          <a:r>
            <a:rPr lang="pt-BR" sz="12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e Metas</a:t>
          </a:r>
          <a:endParaRPr lang="pt-BR" sz="12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  <xdr:twoCellAnchor>
    <xdr:from>
      <xdr:col>3</xdr:col>
      <xdr:colOff>607483</xdr:colOff>
      <xdr:row>3</xdr:row>
      <xdr:rowOff>161924</xdr:rowOff>
    </xdr:from>
    <xdr:to>
      <xdr:col>3</xdr:col>
      <xdr:colOff>1978025</xdr:colOff>
      <xdr:row>4</xdr:row>
      <xdr:rowOff>190499</xdr:rowOff>
    </xdr:to>
    <xdr:sp macro="" textlink="">
      <xdr:nvSpPr>
        <xdr:cNvPr id="12" name="Retângulo 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3B3BED90-C0B7-40D4-A46B-39DD2745B82F}"/>
            </a:ext>
          </a:extLst>
        </xdr:cNvPr>
        <xdr:cNvSpPr/>
      </xdr:nvSpPr>
      <xdr:spPr>
        <a:xfrm>
          <a:off x="4646083" y="742949"/>
          <a:ext cx="1370542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Controle de</a:t>
          </a:r>
          <a:r>
            <a:rPr lang="pt-BR" sz="1100" b="1" baseline="0">
              <a:latin typeface="Cairo" panose="00000500000000000000" pitchFamily="2" charset="-78"/>
              <a:cs typeface="Cairo" panose="00000500000000000000" pitchFamily="2" charset="-78"/>
            </a:rPr>
            <a:t> Metas</a:t>
          </a:r>
          <a:endParaRPr lang="pt-BR" sz="1100" b="1"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19050</xdr:rowOff>
    </xdr:from>
    <xdr:to>
      <xdr:col>2</xdr:col>
      <xdr:colOff>213783</xdr:colOff>
      <xdr:row>5</xdr:row>
      <xdr:rowOff>22098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AD2A40-4453-4358-976A-F0935A3C0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19050"/>
          <a:ext cx="890058" cy="955548"/>
        </a:xfrm>
        <a:prstGeom prst="rect">
          <a:avLst/>
        </a:prstGeom>
      </xdr:spPr>
    </xdr:pic>
    <xdr:clientData/>
  </xdr:twoCellAnchor>
  <xdr:twoCellAnchor>
    <xdr:from>
      <xdr:col>2</xdr:col>
      <xdr:colOff>494242</xdr:colOff>
      <xdr:row>3</xdr:row>
      <xdr:rowOff>152399</xdr:rowOff>
    </xdr:from>
    <xdr:to>
      <xdr:col>2</xdr:col>
      <xdr:colOff>2095500</xdr:colOff>
      <xdr:row>4</xdr:row>
      <xdr:rowOff>171450</xdr:rowOff>
    </xdr:to>
    <xdr:sp macro="" textlink="">
      <xdr:nvSpPr>
        <xdr:cNvPr id="3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4EA2B3-F8BE-4887-874E-DE0090DCD4D9}"/>
            </a:ext>
          </a:extLst>
        </xdr:cNvPr>
        <xdr:cNvSpPr/>
      </xdr:nvSpPr>
      <xdr:spPr>
        <a:xfrm>
          <a:off x="1208617" y="723899"/>
          <a:ext cx="1601258" cy="209551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Objetivos Estratégicos</a:t>
          </a:r>
        </a:p>
      </xdr:txBody>
    </xdr:sp>
    <xdr:clientData/>
  </xdr:twoCellAnchor>
  <xdr:twoCellAnchor>
    <xdr:from>
      <xdr:col>2</xdr:col>
      <xdr:colOff>2312458</xdr:colOff>
      <xdr:row>3</xdr:row>
      <xdr:rowOff>152399</xdr:rowOff>
    </xdr:from>
    <xdr:to>
      <xdr:col>3</xdr:col>
      <xdr:colOff>596900</xdr:colOff>
      <xdr:row>4</xdr:row>
      <xdr:rowOff>180974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F903C1F-B79A-4FD6-B3FC-CB6618ED196D}"/>
            </a:ext>
          </a:extLst>
        </xdr:cNvPr>
        <xdr:cNvSpPr/>
      </xdr:nvSpPr>
      <xdr:spPr>
        <a:xfrm>
          <a:off x="3026833" y="723899"/>
          <a:ext cx="1370542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Metas</a:t>
          </a:r>
        </a:p>
      </xdr:txBody>
    </xdr:sp>
    <xdr:clientData/>
  </xdr:twoCellAnchor>
  <xdr:twoCellAnchor>
    <xdr:from>
      <xdr:col>2</xdr:col>
      <xdr:colOff>404283</xdr:colOff>
      <xdr:row>0</xdr:row>
      <xdr:rowOff>85724</xdr:rowOff>
    </xdr:from>
    <xdr:to>
      <xdr:col>2</xdr:col>
      <xdr:colOff>2045758</xdr:colOff>
      <xdr:row>2</xdr:row>
      <xdr:rowOff>66674</xdr:rowOff>
    </xdr:to>
    <xdr:sp macro="" textlink="">
      <xdr:nvSpPr>
        <xdr:cNvPr id="5" name="Retâ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97BCD6B-2872-4246-BCAC-8E3C032005A7}"/>
            </a:ext>
          </a:extLst>
        </xdr:cNvPr>
        <xdr:cNvSpPr/>
      </xdr:nvSpPr>
      <xdr:spPr>
        <a:xfrm>
          <a:off x="1118658" y="85724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Cadastro</a:t>
          </a:r>
        </a:p>
      </xdr:txBody>
    </xdr:sp>
    <xdr:clientData/>
  </xdr:twoCellAnchor>
  <xdr:twoCellAnchor>
    <xdr:from>
      <xdr:col>4</xdr:col>
      <xdr:colOff>700618</xdr:colOff>
      <xdr:row>0</xdr:row>
      <xdr:rowOff>96307</xdr:rowOff>
    </xdr:from>
    <xdr:to>
      <xdr:col>5</xdr:col>
      <xdr:colOff>1151468</xdr:colOff>
      <xdr:row>2</xdr:row>
      <xdr:rowOff>77257</xdr:rowOff>
    </xdr:to>
    <xdr:sp macro="" textlink="">
      <xdr:nvSpPr>
        <xdr:cNvPr id="6" name="Retâ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40009F2-197A-46DA-94E7-E02D362B2D2F}"/>
            </a:ext>
          </a:extLst>
        </xdr:cNvPr>
        <xdr:cNvSpPr/>
      </xdr:nvSpPr>
      <xdr:spPr>
        <a:xfrm>
          <a:off x="6272743" y="96307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5W2H</a:t>
          </a:r>
        </a:p>
      </xdr:txBody>
    </xdr:sp>
    <xdr:clientData/>
  </xdr:twoCellAnchor>
  <xdr:twoCellAnchor>
    <xdr:from>
      <xdr:col>6</xdr:col>
      <xdr:colOff>1230843</xdr:colOff>
      <xdr:row>0</xdr:row>
      <xdr:rowOff>96307</xdr:rowOff>
    </xdr:from>
    <xdr:to>
      <xdr:col>7</xdr:col>
      <xdr:colOff>119593</xdr:colOff>
      <xdr:row>2</xdr:row>
      <xdr:rowOff>77257</xdr:rowOff>
    </xdr:to>
    <xdr:sp macro="" textlink="">
      <xdr:nvSpPr>
        <xdr:cNvPr id="7" name="Retâ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5466199-F840-4029-8196-084324247887}"/>
            </a:ext>
          </a:extLst>
        </xdr:cNvPr>
        <xdr:cNvSpPr/>
      </xdr:nvSpPr>
      <xdr:spPr>
        <a:xfrm>
          <a:off x="9708093" y="96307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Relatórios</a:t>
          </a:r>
        </a:p>
      </xdr:txBody>
    </xdr:sp>
    <xdr:clientData/>
  </xdr:twoCellAnchor>
  <xdr:twoCellAnchor>
    <xdr:from>
      <xdr:col>7</xdr:col>
      <xdr:colOff>205318</xdr:colOff>
      <xdr:row>0</xdr:row>
      <xdr:rowOff>105832</xdr:rowOff>
    </xdr:from>
    <xdr:to>
      <xdr:col>7</xdr:col>
      <xdr:colOff>1846793</xdr:colOff>
      <xdr:row>2</xdr:row>
      <xdr:rowOff>86782</xdr:rowOff>
    </xdr:to>
    <xdr:sp macro="" textlink="">
      <xdr:nvSpPr>
        <xdr:cNvPr id="8" name="Retâ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AF599CB-133D-4AB2-80C7-ACFA6C296132}"/>
            </a:ext>
          </a:extLst>
        </xdr:cNvPr>
        <xdr:cNvSpPr/>
      </xdr:nvSpPr>
      <xdr:spPr>
        <a:xfrm>
          <a:off x="11435293" y="105832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Dashboard</a:t>
          </a:r>
        </a:p>
      </xdr:txBody>
    </xdr:sp>
    <xdr:clientData/>
  </xdr:twoCellAnchor>
  <xdr:twoCellAnchor>
    <xdr:from>
      <xdr:col>2</xdr:col>
      <xdr:colOff>2112433</xdr:colOff>
      <xdr:row>0</xdr:row>
      <xdr:rowOff>85724</xdr:rowOff>
    </xdr:from>
    <xdr:to>
      <xdr:col>3</xdr:col>
      <xdr:colOff>667808</xdr:colOff>
      <xdr:row>2</xdr:row>
      <xdr:rowOff>66674</xdr:rowOff>
    </xdr:to>
    <xdr:sp macro="" textlink="">
      <xdr:nvSpPr>
        <xdr:cNvPr id="9" name="Retângulo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0135399-AC71-478C-9129-617DFF59E657}"/>
            </a:ext>
          </a:extLst>
        </xdr:cNvPr>
        <xdr:cNvSpPr/>
      </xdr:nvSpPr>
      <xdr:spPr>
        <a:xfrm>
          <a:off x="2826808" y="85724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Análise de SWOT</a:t>
          </a:r>
        </a:p>
      </xdr:txBody>
    </xdr:sp>
    <xdr:clientData/>
  </xdr:twoCellAnchor>
  <xdr:twoCellAnchor>
    <xdr:from>
      <xdr:col>5</xdr:col>
      <xdr:colOff>1227668</xdr:colOff>
      <xdr:row>0</xdr:row>
      <xdr:rowOff>96307</xdr:rowOff>
    </xdr:from>
    <xdr:to>
      <xdr:col>6</xdr:col>
      <xdr:colOff>1154643</xdr:colOff>
      <xdr:row>2</xdr:row>
      <xdr:rowOff>77257</xdr:rowOff>
    </xdr:to>
    <xdr:sp macro="" textlink="">
      <xdr:nvSpPr>
        <xdr:cNvPr id="10" name="Retângulo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A907B1B-F9F0-424D-8914-E062F0E0E7D0}"/>
            </a:ext>
          </a:extLst>
        </xdr:cNvPr>
        <xdr:cNvSpPr/>
      </xdr:nvSpPr>
      <xdr:spPr>
        <a:xfrm>
          <a:off x="7990418" y="96307"/>
          <a:ext cx="16414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Indicadores</a:t>
          </a:r>
        </a:p>
      </xdr:txBody>
    </xdr:sp>
    <xdr:clientData/>
  </xdr:twoCellAnchor>
  <xdr:twoCellAnchor>
    <xdr:from>
      <xdr:col>3</xdr:col>
      <xdr:colOff>754591</xdr:colOff>
      <xdr:row>0</xdr:row>
      <xdr:rowOff>83608</xdr:rowOff>
    </xdr:from>
    <xdr:to>
      <xdr:col>4</xdr:col>
      <xdr:colOff>624416</xdr:colOff>
      <xdr:row>2</xdr:row>
      <xdr:rowOff>64558</xdr:rowOff>
    </xdr:to>
    <xdr:sp macro="" textlink="">
      <xdr:nvSpPr>
        <xdr:cNvPr id="11" name="Retângulo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3C39931-D9A0-4482-8EF4-4E2F2471DD01}"/>
            </a:ext>
          </a:extLst>
        </xdr:cNvPr>
        <xdr:cNvSpPr/>
      </xdr:nvSpPr>
      <xdr:spPr>
        <a:xfrm>
          <a:off x="4555066" y="83608"/>
          <a:ext cx="1641475" cy="36195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Objetivos Est.</a:t>
          </a:r>
          <a:r>
            <a:rPr lang="pt-BR" sz="12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e Metas</a:t>
          </a:r>
          <a:endParaRPr lang="pt-BR" sz="12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  <xdr:twoCellAnchor>
    <xdr:from>
      <xdr:col>3</xdr:col>
      <xdr:colOff>797983</xdr:colOff>
      <xdr:row>3</xdr:row>
      <xdr:rowOff>152399</xdr:rowOff>
    </xdr:from>
    <xdr:to>
      <xdr:col>4</xdr:col>
      <xdr:colOff>396875</xdr:colOff>
      <xdr:row>4</xdr:row>
      <xdr:rowOff>180974</xdr:rowOff>
    </xdr:to>
    <xdr:sp macro="" textlink="">
      <xdr:nvSpPr>
        <xdr:cNvPr id="12" name="Retângulo 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079493C-E64E-4D98-9715-0DE512F2F00B}"/>
            </a:ext>
          </a:extLst>
        </xdr:cNvPr>
        <xdr:cNvSpPr/>
      </xdr:nvSpPr>
      <xdr:spPr>
        <a:xfrm>
          <a:off x="4598458" y="723899"/>
          <a:ext cx="1370542" cy="219075"/>
        </a:xfrm>
        <a:prstGeom prst="rect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C00000"/>
              </a:solidFill>
              <a:latin typeface="Cairo" panose="00000500000000000000" pitchFamily="2" charset="-78"/>
              <a:cs typeface="Cairo" panose="00000500000000000000" pitchFamily="2" charset="-78"/>
            </a:rPr>
            <a:t>Controle de</a:t>
          </a:r>
          <a:r>
            <a:rPr lang="pt-BR" sz="1100" b="1" baseline="0">
              <a:solidFill>
                <a:srgbClr val="C00000"/>
              </a:solidFill>
              <a:latin typeface="Cairo" panose="00000500000000000000" pitchFamily="2" charset="-78"/>
              <a:cs typeface="Cairo" panose="00000500000000000000" pitchFamily="2" charset="-78"/>
            </a:rPr>
            <a:t> Metas</a:t>
          </a:r>
          <a:endParaRPr lang="pt-BR" sz="1100" b="1">
            <a:solidFill>
              <a:srgbClr val="C00000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28576</xdr:rowOff>
    </xdr:from>
    <xdr:to>
      <xdr:col>1</xdr:col>
      <xdr:colOff>0</xdr:colOff>
      <xdr:row>5</xdr:row>
      <xdr:rowOff>31624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0693D9-33B2-4EEB-86F1-4B944D05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8576"/>
          <a:ext cx="885825" cy="955548"/>
        </a:xfrm>
        <a:prstGeom prst="rect">
          <a:avLst/>
        </a:prstGeom>
      </xdr:spPr>
    </xdr:pic>
    <xdr:clientData/>
  </xdr:twoCellAnchor>
  <xdr:twoCellAnchor>
    <xdr:from>
      <xdr:col>1</xdr:col>
      <xdr:colOff>57150</xdr:colOff>
      <xdr:row>0</xdr:row>
      <xdr:rowOff>135466</xdr:rowOff>
    </xdr:from>
    <xdr:to>
      <xdr:col>1</xdr:col>
      <xdr:colOff>1685925</xdr:colOff>
      <xdr:row>2</xdr:row>
      <xdr:rowOff>116416</xdr:rowOff>
    </xdr:to>
    <xdr:sp macro="" textlink="">
      <xdr:nvSpPr>
        <xdr:cNvPr id="12" name="Retângul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10D6771-0194-468E-8A3B-7F04FD513C17}"/>
            </a:ext>
          </a:extLst>
        </xdr:cNvPr>
        <xdr:cNvSpPr/>
      </xdr:nvSpPr>
      <xdr:spPr>
        <a:xfrm>
          <a:off x="1038225" y="135466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Cadastro</a:t>
          </a:r>
        </a:p>
      </xdr:txBody>
    </xdr:sp>
    <xdr:clientData/>
  </xdr:twoCellAnchor>
  <xdr:twoCellAnchor>
    <xdr:from>
      <xdr:col>3</xdr:col>
      <xdr:colOff>696385</xdr:colOff>
      <xdr:row>0</xdr:row>
      <xdr:rowOff>146049</xdr:rowOff>
    </xdr:from>
    <xdr:to>
      <xdr:col>4</xdr:col>
      <xdr:colOff>1234018</xdr:colOff>
      <xdr:row>2</xdr:row>
      <xdr:rowOff>126999</xdr:rowOff>
    </xdr:to>
    <xdr:sp macro="" textlink="">
      <xdr:nvSpPr>
        <xdr:cNvPr id="13" name="Retângul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2B7CF8E-DE62-4248-9500-C3BE4E4595B7}"/>
            </a:ext>
          </a:extLst>
        </xdr:cNvPr>
        <xdr:cNvSpPr/>
      </xdr:nvSpPr>
      <xdr:spPr>
        <a:xfrm>
          <a:off x="6154210" y="146049"/>
          <a:ext cx="1633008" cy="36195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5W2H</a:t>
          </a:r>
        </a:p>
      </xdr:txBody>
    </xdr:sp>
    <xdr:clientData/>
  </xdr:twoCellAnchor>
  <xdr:twoCellAnchor>
    <xdr:from>
      <xdr:col>5</xdr:col>
      <xdr:colOff>291043</xdr:colOff>
      <xdr:row>0</xdr:row>
      <xdr:rowOff>146049</xdr:rowOff>
    </xdr:from>
    <xdr:to>
      <xdr:col>5</xdr:col>
      <xdr:colOff>1919818</xdr:colOff>
      <xdr:row>2</xdr:row>
      <xdr:rowOff>126999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761CC9F-774D-46EF-BBE0-C9D8B896D8A1}"/>
            </a:ext>
          </a:extLst>
        </xdr:cNvPr>
        <xdr:cNvSpPr/>
      </xdr:nvSpPr>
      <xdr:spPr>
        <a:xfrm>
          <a:off x="9568393" y="146049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Relatórios</a:t>
          </a:r>
        </a:p>
      </xdr:txBody>
    </xdr:sp>
    <xdr:clientData/>
  </xdr:twoCellAnchor>
  <xdr:twoCellAnchor>
    <xdr:from>
      <xdr:col>5</xdr:col>
      <xdr:colOff>2005543</xdr:colOff>
      <xdr:row>0</xdr:row>
      <xdr:rowOff>155574</xdr:rowOff>
    </xdr:from>
    <xdr:to>
      <xdr:col>6</xdr:col>
      <xdr:colOff>1538818</xdr:colOff>
      <xdr:row>2</xdr:row>
      <xdr:rowOff>136524</xdr:rowOff>
    </xdr:to>
    <xdr:sp macro="" textlink="">
      <xdr:nvSpPr>
        <xdr:cNvPr id="15" name="Retângulo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A25A8B8-4994-4C4E-BE34-B700170000E2}"/>
            </a:ext>
          </a:extLst>
        </xdr:cNvPr>
        <xdr:cNvSpPr/>
      </xdr:nvSpPr>
      <xdr:spPr>
        <a:xfrm>
          <a:off x="11282893" y="155574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Dashboard</a:t>
          </a:r>
        </a:p>
      </xdr:txBody>
    </xdr:sp>
    <xdr:clientData/>
  </xdr:twoCellAnchor>
  <xdr:twoCellAnchor>
    <xdr:from>
      <xdr:col>1</xdr:col>
      <xdr:colOff>1752600</xdr:colOff>
      <xdr:row>0</xdr:row>
      <xdr:rowOff>135466</xdr:rowOff>
    </xdr:from>
    <xdr:to>
      <xdr:col>2</xdr:col>
      <xdr:colOff>1019175</xdr:colOff>
      <xdr:row>2</xdr:row>
      <xdr:rowOff>116416</xdr:rowOff>
    </xdr:to>
    <xdr:sp macro="" textlink="">
      <xdr:nvSpPr>
        <xdr:cNvPr id="16" name="Retângul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8B7B184-410C-4FFE-8D88-73690994E96B}"/>
            </a:ext>
          </a:extLst>
        </xdr:cNvPr>
        <xdr:cNvSpPr/>
      </xdr:nvSpPr>
      <xdr:spPr>
        <a:xfrm>
          <a:off x="2733675" y="135466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Análise de SWOT</a:t>
          </a:r>
        </a:p>
      </xdr:txBody>
    </xdr:sp>
    <xdr:clientData/>
  </xdr:twoCellAnchor>
  <xdr:twoCellAnchor>
    <xdr:from>
      <xdr:col>4</xdr:col>
      <xdr:colOff>1305985</xdr:colOff>
      <xdr:row>0</xdr:row>
      <xdr:rowOff>146049</xdr:rowOff>
    </xdr:from>
    <xdr:to>
      <xdr:col>5</xdr:col>
      <xdr:colOff>214843</xdr:colOff>
      <xdr:row>2</xdr:row>
      <xdr:rowOff>126999</xdr:rowOff>
    </xdr:to>
    <xdr:sp macro="" textlink="">
      <xdr:nvSpPr>
        <xdr:cNvPr id="17" name="Retângul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666D43D-A3B9-4F32-B023-BE68A25FE266}"/>
            </a:ext>
          </a:extLst>
        </xdr:cNvPr>
        <xdr:cNvSpPr/>
      </xdr:nvSpPr>
      <xdr:spPr>
        <a:xfrm>
          <a:off x="7859185" y="146049"/>
          <a:ext cx="1633008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Indicadores</a:t>
          </a:r>
        </a:p>
      </xdr:txBody>
    </xdr:sp>
    <xdr:clientData/>
  </xdr:twoCellAnchor>
  <xdr:twoCellAnchor>
    <xdr:from>
      <xdr:col>2</xdr:col>
      <xdr:colOff>1105958</xdr:colOff>
      <xdr:row>0</xdr:row>
      <xdr:rowOff>133350</xdr:rowOff>
    </xdr:from>
    <xdr:to>
      <xdr:col>3</xdr:col>
      <xdr:colOff>620183</xdr:colOff>
      <xdr:row>2</xdr:row>
      <xdr:rowOff>114300</xdr:rowOff>
    </xdr:to>
    <xdr:sp macro="" textlink="">
      <xdr:nvSpPr>
        <xdr:cNvPr id="18" name="Retângulo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D55B4BF-B7CA-4E71-95AB-972863CAD416}"/>
            </a:ext>
          </a:extLst>
        </xdr:cNvPr>
        <xdr:cNvSpPr/>
      </xdr:nvSpPr>
      <xdr:spPr>
        <a:xfrm>
          <a:off x="4449233" y="133350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Objetivos Est.</a:t>
          </a:r>
          <a:r>
            <a:rPr lang="pt-BR" sz="12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e Metas</a:t>
          </a:r>
          <a:endParaRPr lang="pt-BR" sz="12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28576</xdr:rowOff>
    </xdr:from>
    <xdr:to>
      <xdr:col>1</xdr:col>
      <xdr:colOff>371475</xdr:colOff>
      <xdr:row>5</xdr:row>
      <xdr:rowOff>31624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46F2B5-38E5-4B87-936C-5654825B8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8576"/>
          <a:ext cx="885825" cy="955548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3</xdr:row>
      <xdr:rowOff>161925</xdr:rowOff>
    </xdr:from>
    <xdr:to>
      <xdr:col>4</xdr:col>
      <xdr:colOff>133350</xdr:colOff>
      <xdr:row>5</xdr:row>
      <xdr:rowOff>0</xdr:rowOff>
    </xdr:to>
    <xdr:sp macro="" textlink="">
      <xdr:nvSpPr>
        <xdr:cNvPr id="3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63660D-1C50-4B63-A3C1-7401E09869F6}"/>
            </a:ext>
          </a:extLst>
        </xdr:cNvPr>
        <xdr:cNvSpPr/>
      </xdr:nvSpPr>
      <xdr:spPr>
        <a:xfrm>
          <a:off x="1209675" y="733425"/>
          <a:ext cx="13620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Acompanhamento</a:t>
          </a:r>
        </a:p>
      </xdr:txBody>
    </xdr:sp>
    <xdr:clientData/>
  </xdr:twoCellAnchor>
  <xdr:twoCellAnchor>
    <xdr:from>
      <xdr:col>7</xdr:col>
      <xdr:colOff>9525</xdr:colOff>
      <xdr:row>3</xdr:row>
      <xdr:rowOff>161925</xdr:rowOff>
    </xdr:from>
    <xdr:to>
      <xdr:col>9</xdr:col>
      <xdr:colOff>266700</xdr:colOff>
      <xdr:row>5</xdr:row>
      <xdr:rowOff>0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4416986-5E3E-463F-9526-C91A66436320}"/>
            </a:ext>
          </a:extLst>
        </xdr:cNvPr>
        <xdr:cNvSpPr/>
      </xdr:nvSpPr>
      <xdr:spPr>
        <a:xfrm>
          <a:off x="4276725" y="733425"/>
          <a:ext cx="14763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Ação</a:t>
          </a:r>
          <a:r>
            <a:rPr lang="pt-BR" sz="1100" b="1" baseline="0">
              <a:latin typeface="Cairo" panose="00000500000000000000" pitchFamily="2" charset="-78"/>
              <a:cs typeface="Cairo" panose="00000500000000000000" pitchFamily="2" charset="-78"/>
            </a:rPr>
            <a:t> por PETiano (a)</a:t>
          </a:r>
          <a:endParaRPr lang="pt-BR" sz="1100" b="1"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  <xdr:twoCellAnchor>
    <xdr:from>
      <xdr:col>4</xdr:col>
      <xdr:colOff>314325</xdr:colOff>
      <xdr:row>3</xdr:row>
      <xdr:rowOff>161925</xdr:rowOff>
    </xdr:from>
    <xdr:to>
      <xdr:col>6</xdr:col>
      <xdr:colOff>457200</xdr:colOff>
      <xdr:row>5</xdr:row>
      <xdr:rowOff>0</xdr:rowOff>
    </xdr:to>
    <xdr:sp macro="" textlink="">
      <xdr:nvSpPr>
        <xdr:cNvPr id="5" name="Retâ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81CF48F-4B25-4498-B6B7-7539DCC9B413}"/>
            </a:ext>
          </a:extLst>
        </xdr:cNvPr>
        <xdr:cNvSpPr/>
      </xdr:nvSpPr>
      <xdr:spPr>
        <a:xfrm>
          <a:off x="2752725" y="733425"/>
          <a:ext cx="13620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Ação Plan vs</a:t>
          </a:r>
          <a:r>
            <a:rPr lang="pt-BR" sz="1100" b="1" baseline="0">
              <a:latin typeface="Cairo" panose="00000500000000000000" pitchFamily="2" charset="-78"/>
              <a:cs typeface="Cairo" panose="00000500000000000000" pitchFamily="2" charset="-78"/>
            </a:rPr>
            <a:t> Realiz.</a:t>
          </a:r>
          <a:endParaRPr lang="pt-BR" sz="1100" b="1"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  <xdr:twoCellAnchor>
    <xdr:from>
      <xdr:col>1</xdr:col>
      <xdr:colOff>523875</xdr:colOff>
      <xdr:row>0</xdr:row>
      <xdr:rowOff>144991</xdr:rowOff>
    </xdr:from>
    <xdr:to>
      <xdr:col>4</xdr:col>
      <xdr:colOff>323850</xdr:colOff>
      <xdr:row>2</xdr:row>
      <xdr:rowOff>125941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1E23646-44B5-47E5-884E-F1124AE4C105}"/>
            </a:ext>
          </a:extLst>
        </xdr:cNvPr>
        <xdr:cNvSpPr/>
      </xdr:nvSpPr>
      <xdr:spPr>
        <a:xfrm>
          <a:off x="1133475" y="144991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Cadastro</a:t>
          </a:r>
        </a:p>
      </xdr:txBody>
    </xdr:sp>
    <xdr:clientData/>
  </xdr:twoCellAnchor>
  <xdr:twoCellAnchor>
    <xdr:from>
      <xdr:col>10</xdr:col>
      <xdr:colOff>153460</xdr:colOff>
      <xdr:row>0</xdr:row>
      <xdr:rowOff>155574</xdr:rowOff>
    </xdr:from>
    <xdr:to>
      <xdr:col>12</xdr:col>
      <xdr:colOff>567268</xdr:colOff>
      <xdr:row>2</xdr:row>
      <xdr:rowOff>136524</xdr:rowOff>
    </xdr:to>
    <xdr:sp macro="" textlink="">
      <xdr:nvSpPr>
        <xdr:cNvPr id="13" name="Retângulo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ECA5AF6-F274-4D9B-8E5E-6A23E94B5C83}"/>
            </a:ext>
          </a:extLst>
        </xdr:cNvPr>
        <xdr:cNvSpPr/>
      </xdr:nvSpPr>
      <xdr:spPr>
        <a:xfrm>
          <a:off x="6249460" y="155574"/>
          <a:ext cx="1633008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5W2H</a:t>
          </a:r>
        </a:p>
      </xdr:txBody>
    </xdr:sp>
    <xdr:clientData/>
  </xdr:twoCellAnchor>
  <xdr:twoCellAnchor>
    <xdr:from>
      <xdr:col>15</xdr:col>
      <xdr:colOff>519643</xdr:colOff>
      <xdr:row>0</xdr:row>
      <xdr:rowOff>155574</xdr:rowOff>
    </xdr:from>
    <xdr:to>
      <xdr:col>18</xdr:col>
      <xdr:colOff>319618</xdr:colOff>
      <xdr:row>2</xdr:row>
      <xdr:rowOff>136524</xdr:rowOff>
    </xdr:to>
    <xdr:sp macro="" textlink="">
      <xdr:nvSpPr>
        <xdr:cNvPr id="14" name="Retângulo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BDA9BF7-8446-42EE-A5B9-6FA1D581FE6F}"/>
            </a:ext>
          </a:extLst>
        </xdr:cNvPr>
        <xdr:cNvSpPr/>
      </xdr:nvSpPr>
      <xdr:spPr>
        <a:xfrm>
          <a:off x="9663643" y="155574"/>
          <a:ext cx="1628775" cy="36195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Relatórios</a:t>
          </a:r>
        </a:p>
      </xdr:txBody>
    </xdr:sp>
    <xdr:clientData/>
  </xdr:twoCellAnchor>
  <xdr:twoCellAnchor>
    <xdr:from>
      <xdr:col>18</xdr:col>
      <xdr:colOff>405343</xdr:colOff>
      <xdr:row>0</xdr:row>
      <xdr:rowOff>165099</xdr:rowOff>
    </xdr:from>
    <xdr:to>
      <xdr:col>21</xdr:col>
      <xdr:colOff>205318</xdr:colOff>
      <xdr:row>2</xdr:row>
      <xdr:rowOff>146049</xdr:rowOff>
    </xdr:to>
    <xdr:sp macro="" textlink="">
      <xdr:nvSpPr>
        <xdr:cNvPr id="15" name="Retângul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A8969EA-E324-4F26-BC3C-F32F3709E45C}"/>
            </a:ext>
          </a:extLst>
        </xdr:cNvPr>
        <xdr:cNvSpPr/>
      </xdr:nvSpPr>
      <xdr:spPr>
        <a:xfrm>
          <a:off x="11378143" y="165099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Dashboard</a:t>
          </a:r>
        </a:p>
      </xdr:txBody>
    </xdr:sp>
    <xdr:clientData/>
  </xdr:twoCellAnchor>
  <xdr:twoCellAnchor>
    <xdr:from>
      <xdr:col>4</xdr:col>
      <xdr:colOff>390525</xdr:colOff>
      <xdr:row>0</xdr:row>
      <xdr:rowOff>144991</xdr:rowOff>
    </xdr:from>
    <xdr:to>
      <xdr:col>7</xdr:col>
      <xdr:colOff>190500</xdr:colOff>
      <xdr:row>2</xdr:row>
      <xdr:rowOff>125941</xdr:rowOff>
    </xdr:to>
    <xdr:sp macro="" textlink="">
      <xdr:nvSpPr>
        <xdr:cNvPr id="16" name="Retângulo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EC89C08-DDA2-446C-9A59-2742276E1B24}"/>
            </a:ext>
          </a:extLst>
        </xdr:cNvPr>
        <xdr:cNvSpPr/>
      </xdr:nvSpPr>
      <xdr:spPr>
        <a:xfrm>
          <a:off x="2828925" y="144991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Análise de SWOT</a:t>
          </a:r>
        </a:p>
      </xdr:txBody>
    </xdr:sp>
    <xdr:clientData/>
  </xdr:twoCellAnchor>
  <xdr:twoCellAnchor>
    <xdr:from>
      <xdr:col>13</xdr:col>
      <xdr:colOff>29635</xdr:colOff>
      <xdr:row>0</xdr:row>
      <xdr:rowOff>155574</xdr:rowOff>
    </xdr:from>
    <xdr:to>
      <xdr:col>15</xdr:col>
      <xdr:colOff>443443</xdr:colOff>
      <xdr:row>2</xdr:row>
      <xdr:rowOff>136524</xdr:rowOff>
    </xdr:to>
    <xdr:sp macro="" textlink="">
      <xdr:nvSpPr>
        <xdr:cNvPr id="17" name="Retângulo 1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8B6087B-ECF3-414B-81E6-2004EC451F1A}"/>
            </a:ext>
          </a:extLst>
        </xdr:cNvPr>
        <xdr:cNvSpPr/>
      </xdr:nvSpPr>
      <xdr:spPr>
        <a:xfrm>
          <a:off x="7954435" y="155574"/>
          <a:ext cx="1633008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Indicadores</a:t>
          </a:r>
        </a:p>
      </xdr:txBody>
    </xdr:sp>
    <xdr:clientData/>
  </xdr:twoCellAnchor>
  <xdr:twoCellAnchor>
    <xdr:from>
      <xdr:col>7</xdr:col>
      <xdr:colOff>277283</xdr:colOff>
      <xdr:row>0</xdr:row>
      <xdr:rowOff>142875</xdr:rowOff>
    </xdr:from>
    <xdr:to>
      <xdr:col>10</xdr:col>
      <xdr:colOff>77258</xdr:colOff>
      <xdr:row>2</xdr:row>
      <xdr:rowOff>123825</xdr:rowOff>
    </xdr:to>
    <xdr:sp macro="" textlink="">
      <xdr:nvSpPr>
        <xdr:cNvPr id="18" name="Retângulo 1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6F6C1D2-9E17-40B6-8C6E-A5955A5197E5}"/>
            </a:ext>
          </a:extLst>
        </xdr:cNvPr>
        <xdr:cNvSpPr/>
      </xdr:nvSpPr>
      <xdr:spPr>
        <a:xfrm>
          <a:off x="4544483" y="142875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Objetivos Est.</a:t>
          </a:r>
          <a:r>
            <a:rPr lang="pt-BR" sz="12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e Metas</a:t>
          </a:r>
          <a:endParaRPr lang="pt-BR" sz="12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28576</xdr:rowOff>
    </xdr:from>
    <xdr:to>
      <xdr:col>1</xdr:col>
      <xdr:colOff>371475</xdr:colOff>
      <xdr:row>5</xdr:row>
      <xdr:rowOff>31624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1E5906-524B-4F74-8C5A-3FF3B21BC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8576"/>
          <a:ext cx="885825" cy="955548"/>
        </a:xfrm>
        <a:prstGeom prst="rect">
          <a:avLst/>
        </a:prstGeom>
      </xdr:spPr>
    </xdr:pic>
    <xdr:clientData/>
  </xdr:twoCellAnchor>
  <xdr:twoCellAnchor>
    <xdr:from>
      <xdr:col>1</xdr:col>
      <xdr:colOff>704850</xdr:colOff>
      <xdr:row>3</xdr:row>
      <xdr:rowOff>161925</xdr:rowOff>
    </xdr:from>
    <xdr:to>
      <xdr:col>2</xdr:col>
      <xdr:colOff>542925</xdr:colOff>
      <xdr:row>5</xdr:row>
      <xdr:rowOff>0</xdr:rowOff>
    </xdr:to>
    <xdr:sp macro="" textlink="">
      <xdr:nvSpPr>
        <xdr:cNvPr id="15" name="Retângul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CDA1B4-E3F4-476B-AB48-EFDFEF1B0584}"/>
            </a:ext>
          </a:extLst>
        </xdr:cNvPr>
        <xdr:cNvSpPr/>
      </xdr:nvSpPr>
      <xdr:spPr>
        <a:xfrm>
          <a:off x="1314450" y="733425"/>
          <a:ext cx="1362075" cy="219075"/>
        </a:xfrm>
        <a:prstGeom prst="rect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C00000"/>
              </a:solidFill>
              <a:latin typeface="Cairo" panose="00000500000000000000" pitchFamily="2" charset="-78"/>
              <a:cs typeface="Cairo" panose="00000500000000000000" pitchFamily="2" charset="-78"/>
            </a:rPr>
            <a:t>Acompanhamento</a:t>
          </a:r>
        </a:p>
      </xdr:txBody>
    </xdr:sp>
    <xdr:clientData/>
  </xdr:twoCellAnchor>
  <xdr:twoCellAnchor>
    <xdr:from>
      <xdr:col>3</xdr:col>
      <xdr:colOff>466725</xdr:colOff>
      <xdr:row>3</xdr:row>
      <xdr:rowOff>161925</xdr:rowOff>
    </xdr:from>
    <xdr:to>
      <xdr:col>4</xdr:col>
      <xdr:colOff>457200</xdr:colOff>
      <xdr:row>5</xdr:row>
      <xdr:rowOff>0</xdr:rowOff>
    </xdr:to>
    <xdr:sp macro="" textlink="">
      <xdr:nvSpPr>
        <xdr:cNvPr id="16" name="Retângul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EFE08C-4266-4F5D-AFA5-61DD6326157B}"/>
            </a:ext>
          </a:extLst>
        </xdr:cNvPr>
        <xdr:cNvSpPr/>
      </xdr:nvSpPr>
      <xdr:spPr>
        <a:xfrm>
          <a:off x="4381500" y="733425"/>
          <a:ext cx="14763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Ação</a:t>
          </a:r>
          <a:r>
            <a:rPr lang="pt-BR" sz="1100" b="1" baseline="0">
              <a:latin typeface="Cairo" panose="00000500000000000000" pitchFamily="2" charset="-78"/>
              <a:cs typeface="Cairo" panose="00000500000000000000" pitchFamily="2" charset="-78"/>
            </a:rPr>
            <a:t> por PETiano (a)</a:t>
          </a:r>
          <a:endParaRPr lang="pt-BR" sz="1100" b="1"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  <xdr:twoCellAnchor>
    <xdr:from>
      <xdr:col>2</xdr:col>
      <xdr:colOff>723900</xdr:colOff>
      <xdr:row>3</xdr:row>
      <xdr:rowOff>161925</xdr:rowOff>
    </xdr:from>
    <xdr:to>
      <xdr:col>3</xdr:col>
      <xdr:colOff>304800</xdr:colOff>
      <xdr:row>5</xdr:row>
      <xdr:rowOff>0</xdr:rowOff>
    </xdr:to>
    <xdr:sp macro="" textlink="">
      <xdr:nvSpPr>
        <xdr:cNvPr id="17" name="Retângul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F7AB2-934A-476D-85A5-78B0252D10EB}"/>
            </a:ext>
          </a:extLst>
        </xdr:cNvPr>
        <xdr:cNvSpPr/>
      </xdr:nvSpPr>
      <xdr:spPr>
        <a:xfrm>
          <a:off x="2857500" y="733425"/>
          <a:ext cx="13620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Ação Plan vs</a:t>
          </a:r>
          <a:r>
            <a:rPr lang="pt-BR" sz="1100" b="1" baseline="0">
              <a:latin typeface="Cairo" panose="00000500000000000000" pitchFamily="2" charset="-78"/>
              <a:cs typeface="Cairo" panose="00000500000000000000" pitchFamily="2" charset="-78"/>
            </a:rPr>
            <a:t> Realiz.</a:t>
          </a:r>
          <a:endParaRPr lang="pt-BR" sz="1100" b="1"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  <xdr:twoCellAnchor>
    <xdr:from>
      <xdr:col>5</xdr:col>
      <xdr:colOff>161925</xdr:colOff>
      <xdr:row>12</xdr:row>
      <xdr:rowOff>80962</xdr:rowOff>
    </xdr:from>
    <xdr:to>
      <xdr:col>11</xdr:col>
      <xdr:colOff>581024</xdr:colOff>
      <xdr:row>24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BBF329D-A24D-4718-8499-AB18727067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409575</xdr:colOff>
      <xdr:row>0</xdr:row>
      <xdr:rowOff>125941</xdr:rowOff>
    </xdr:from>
    <xdr:to>
      <xdr:col>2</xdr:col>
      <xdr:colOff>514350</xdr:colOff>
      <xdr:row>2</xdr:row>
      <xdr:rowOff>106891</xdr:rowOff>
    </xdr:to>
    <xdr:sp macro="" textlink="">
      <xdr:nvSpPr>
        <xdr:cNvPr id="23" name="Retângul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3D65777-D818-4F19-A19D-F39CFCE64F38}"/>
            </a:ext>
          </a:extLst>
        </xdr:cNvPr>
        <xdr:cNvSpPr/>
      </xdr:nvSpPr>
      <xdr:spPr>
        <a:xfrm>
          <a:off x="1019175" y="125941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Cadastro</a:t>
          </a:r>
        </a:p>
      </xdr:txBody>
    </xdr:sp>
    <xdr:clientData/>
  </xdr:twoCellAnchor>
  <xdr:twoCellAnchor>
    <xdr:from>
      <xdr:col>4</xdr:col>
      <xdr:colOff>734485</xdr:colOff>
      <xdr:row>0</xdr:row>
      <xdr:rowOff>136524</xdr:rowOff>
    </xdr:from>
    <xdr:to>
      <xdr:col>8</xdr:col>
      <xdr:colOff>33868</xdr:colOff>
      <xdr:row>2</xdr:row>
      <xdr:rowOff>117474</xdr:rowOff>
    </xdr:to>
    <xdr:sp macro="" textlink="">
      <xdr:nvSpPr>
        <xdr:cNvPr id="24" name="Retângulo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2E67923-91CB-4EBD-8B24-C49689AC4119}"/>
            </a:ext>
          </a:extLst>
        </xdr:cNvPr>
        <xdr:cNvSpPr/>
      </xdr:nvSpPr>
      <xdr:spPr>
        <a:xfrm>
          <a:off x="6135160" y="136524"/>
          <a:ext cx="1633008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5W2H</a:t>
          </a:r>
        </a:p>
      </xdr:txBody>
    </xdr:sp>
    <xdr:clientData/>
  </xdr:twoCellAnchor>
  <xdr:twoCellAnchor>
    <xdr:from>
      <xdr:col>10</xdr:col>
      <xdr:colOff>595843</xdr:colOff>
      <xdr:row>0</xdr:row>
      <xdr:rowOff>136524</xdr:rowOff>
    </xdr:from>
    <xdr:to>
      <xdr:col>10</xdr:col>
      <xdr:colOff>2224618</xdr:colOff>
      <xdr:row>2</xdr:row>
      <xdr:rowOff>117474</xdr:rowOff>
    </xdr:to>
    <xdr:sp macro="" textlink="">
      <xdr:nvSpPr>
        <xdr:cNvPr id="25" name="Retângulo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6253FD5-354E-4C98-929A-2C62290B7CBF}"/>
            </a:ext>
          </a:extLst>
        </xdr:cNvPr>
        <xdr:cNvSpPr/>
      </xdr:nvSpPr>
      <xdr:spPr>
        <a:xfrm>
          <a:off x="9549343" y="136524"/>
          <a:ext cx="1628775" cy="36195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Relatórios</a:t>
          </a:r>
        </a:p>
      </xdr:txBody>
    </xdr:sp>
    <xdr:clientData/>
  </xdr:twoCellAnchor>
  <xdr:twoCellAnchor>
    <xdr:from>
      <xdr:col>10</xdr:col>
      <xdr:colOff>2310343</xdr:colOff>
      <xdr:row>0</xdr:row>
      <xdr:rowOff>146049</xdr:rowOff>
    </xdr:from>
    <xdr:to>
      <xdr:col>11</xdr:col>
      <xdr:colOff>1176868</xdr:colOff>
      <xdr:row>2</xdr:row>
      <xdr:rowOff>126999</xdr:rowOff>
    </xdr:to>
    <xdr:sp macro="" textlink="">
      <xdr:nvSpPr>
        <xdr:cNvPr id="26" name="Retângulo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94C7B61-97CD-4DE2-B79F-83B8A6BC3BBD}"/>
            </a:ext>
          </a:extLst>
        </xdr:cNvPr>
        <xdr:cNvSpPr/>
      </xdr:nvSpPr>
      <xdr:spPr>
        <a:xfrm>
          <a:off x="11263843" y="146049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Dashboard</a:t>
          </a:r>
        </a:p>
      </xdr:txBody>
    </xdr:sp>
    <xdr:clientData/>
  </xdr:twoCellAnchor>
  <xdr:twoCellAnchor>
    <xdr:from>
      <xdr:col>2</xdr:col>
      <xdr:colOff>581025</xdr:colOff>
      <xdr:row>0</xdr:row>
      <xdr:rowOff>125941</xdr:rowOff>
    </xdr:from>
    <xdr:to>
      <xdr:col>3</xdr:col>
      <xdr:colOff>428625</xdr:colOff>
      <xdr:row>2</xdr:row>
      <xdr:rowOff>106891</xdr:rowOff>
    </xdr:to>
    <xdr:sp macro="" textlink="">
      <xdr:nvSpPr>
        <xdr:cNvPr id="27" name="Retângulo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1308B40-1B07-46E8-8658-2E979E5874DB}"/>
            </a:ext>
          </a:extLst>
        </xdr:cNvPr>
        <xdr:cNvSpPr/>
      </xdr:nvSpPr>
      <xdr:spPr>
        <a:xfrm>
          <a:off x="2714625" y="125941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Análise de SWOT</a:t>
          </a:r>
        </a:p>
      </xdr:txBody>
    </xdr:sp>
    <xdr:clientData/>
  </xdr:twoCellAnchor>
  <xdr:twoCellAnchor>
    <xdr:from>
      <xdr:col>8</xdr:col>
      <xdr:colOff>105835</xdr:colOff>
      <xdr:row>0</xdr:row>
      <xdr:rowOff>136524</xdr:rowOff>
    </xdr:from>
    <xdr:to>
      <xdr:col>10</xdr:col>
      <xdr:colOff>519643</xdr:colOff>
      <xdr:row>2</xdr:row>
      <xdr:rowOff>117474</xdr:rowOff>
    </xdr:to>
    <xdr:sp macro="" textlink="">
      <xdr:nvSpPr>
        <xdr:cNvPr id="28" name="Retângulo 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8AC83A9-ADBC-4FE4-B4F1-248DCBB4C879}"/>
            </a:ext>
          </a:extLst>
        </xdr:cNvPr>
        <xdr:cNvSpPr/>
      </xdr:nvSpPr>
      <xdr:spPr>
        <a:xfrm>
          <a:off x="7840135" y="136524"/>
          <a:ext cx="1633008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Indicadores</a:t>
          </a:r>
        </a:p>
      </xdr:txBody>
    </xdr:sp>
    <xdr:clientData/>
  </xdr:twoCellAnchor>
  <xdr:twoCellAnchor>
    <xdr:from>
      <xdr:col>3</xdr:col>
      <xdr:colOff>515408</xdr:colOff>
      <xdr:row>0</xdr:row>
      <xdr:rowOff>123825</xdr:rowOff>
    </xdr:from>
    <xdr:to>
      <xdr:col>4</xdr:col>
      <xdr:colOff>658283</xdr:colOff>
      <xdr:row>2</xdr:row>
      <xdr:rowOff>104775</xdr:rowOff>
    </xdr:to>
    <xdr:sp macro="" textlink="">
      <xdr:nvSpPr>
        <xdr:cNvPr id="29" name="Retângulo 2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DF43332-9A8A-40C9-B6AA-C5A6EE02B195}"/>
            </a:ext>
          </a:extLst>
        </xdr:cNvPr>
        <xdr:cNvSpPr/>
      </xdr:nvSpPr>
      <xdr:spPr>
        <a:xfrm>
          <a:off x="4430183" y="123825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Objetivos Est.</a:t>
          </a:r>
          <a:r>
            <a:rPr lang="pt-BR" sz="12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e Metas</a:t>
          </a:r>
          <a:endParaRPr lang="pt-BR" sz="12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28576</xdr:rowOff>
    </xdr:from>
    <xdr:to>
      <xdr:col>1</xdr:col>
      <xdr:colOff>371475</xdr:colOff>
      <xdr:row>5</xdr:row>
      <xdr:rowOff>31624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A3F1B28-C3EC-43B5-B6D2-40F7D83F3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8576"/>
          <a:ext cx="885825" cy="955548"/>
        </a:xfrm>
        <a:prstGeom prst="rect">
          <a:avLst/>
        </a:prstGeom>
      </xdr:spPr>
    </xdr:pic>
    <xdr:clientData/>
  </xdr:twoCellAnchor>
  <xdr:twoCellAnchor>
    <xdr:from>
      <xdr:col>1</xdr:col>
      <xdr:colOff>609600</xdr:colOff>
      <xdr:row>3</xdr:row>
      <xdr:rowOff>161925</xdr:rowOff>
    </xdr:from>
    <xdr:to>
      <xdr:col>2</xdr:col>
      <xdr:colOff>457200</xdr:colOff>
      <xdr:row>5</xdr:row>
      <xdr:rowOff>0</xdr:rowOff>
    </xdr:to>
    <xdr:sp macro="" textlink="">
      <xdr:nvSpPr>
        <xdr:cNvPr id="14" name="Retângul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4FC0545-455E-40B6-9A93-A3A8162A9E4C}"/>
            </a:ext>
          </a:extLst>
        </xdr:cNvPr>
        <xdr:cNvSpPr/>
      </xdr:nvSpPr>
      <xdr:spPr>
        <a:xfrm>
          <a:off x="1219200" y="733425"/>
          <a:ext cx="13620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Acompanhamento</a:t>
          </a:r>
        </a:p>
      </xdr:txBody>
    </xdr:sp>
    <xdr:clientData/>
  </xdr:twoCellAnchor>
  <xdr:twoCellAnchor>
    <xdr:from>
      <xdr:col>4</xdr:col>
      <xdr:colOff>600075</xdr:colOff>
      <xdr:row>3</xdr:row>
      <xdr:rowOff>161925</xdr:rowOff>
    </xdr:from>
    <xdr:to>
      <xdr:col>7</xdr:col>
      <xdr:colOff>247650</xdr:colOff>
      <xdr:row>5</xdr:row>
      <xdr:rowOff>0</xdr:rowOff>
    </xdr:to>
    <xdr:sp macro="" textlink="">
      <xdr:nvSpPr>
        <xdr:cNvPr id="15" name="Retângul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2F9CC8B-8F10-4B54-9F5C-E07FE12C9350}"/>
            </a:ext>
          </a:extLst>
        </xdr:cNvPr>
        <xdr:cNvSpPr/>
      </xdr:nvSpPr>
      <xdr:spPr>
        <a:xfrm>
          <a:off x="4286250" y="733425"/>
          <a:ext cx="14763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Ação</a:t>
          </a:r>
          <a:r>
            <a:rPr lang="pt-BR" sz="1100" b="1" baseline="0">
              <a:latin typeface="Cairo" panose="00000500000000000000" pitchFamily="2" charset="-78"/>
              <a:cs typeface="Cairo" panose="00000500000000000000" pitchFamily="2" charset="-78"/>
            </a:rPr>
            <a:t> por PETiano (a)</a:t>
          </a:r>
          <a:endParaRPr lang="pt-BR" sz="1100" b="1"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  <xdr:twoCellAnchor>
    <xdr:from>
      <xdr:col>2</xdr:col>
      <xdr:colOff>638175</xdr:colOff>
      <xdr:row>3</xdr:row>
      <xdr:rowOff>161925</xdr:rowOff>
    </xdr:from>
    <xdr:to>
      <xdr:col>4</xdr:col>
      <xdr:colOff>438150</xdr:colOff>
      <xdr:row>5</xdr:row>
      <xdr:rowOff>0</xdr:rowOff>
    </xdr:to>
    <xdr:sp macro="" textlink="">
      <xdr:nvSpPr>
        <xdr:cNvPr id="16" name="Retângulo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6597785-ECEC-4DDF-849F-28CB16495E9C}"/>
            </a:ext>
          </a:extLst>
        </xdr:cNvPr>
        <xdr:cNvSpPr/>
      </xdr:nvSpPr>
      <xdr:spPr>
        <a:xfrm>
          <a:off x="2762250" y="733425"/>
          <a:ext cx="1362075" cy="219075"/>
        </a:xfrm>
        <a:prstGeom prst="rect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C00000"/>
              </a:solidFill>
              <a:latin typeface="Cairo" panose="00000500000000000000" pitchFamily="2" charset="-78"/>
              <a:cs typeface="Cairo" panose="00000500000000000000" pitchFamily="2" charset="-78"/>
            </a:rPr>
            <a:t>Ação Plan vs</a:t>
          </a:r>
          <a:r>
            <a:rPr lang="pt-BR" sz="1100" b="1" baseline="0">
              <a:solidFill>
                <a:srgbClr val="C00000"/>
              </a:solidFill>
              <a:latin typeface="Cairo" panose="00000500000000000000" pitchFamily="2" charset="-78"/>
              <a:cs typeface="Cairo" panose="00000500000000000000" pitchFamily="2" charset="-78"/>
            </a:rPr>
            <a:t> Realiz.</a:t>
          </a:r>
          <a:endParaRPr lang="pt-BR" sz="1100" b="1">
            <a:solidFill>
              <a:srgbClr val="C00000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  <xdr:twoCellAnchor>
    <xdr:from>
      <xdr:col>0</xdr:col>
      <xdr:colOff>466725</xdr:colOff>
      <xdr:row>11</xdr:row>
      <xdr:rowOff>171449</xdr:rowOff>
    </xdr:from>
    <xdr:to>
      <xdr:col>14</xdr:col>
      <xdr:colOff>447675</xdr:colOff>
      <xdr:row>26</xdr:row>
      <xdr:rowOff>33336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093A315-5579-4F9E-85F5-CC1C062B38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419100</xdr:colOff>
      <xdr:row>0</xdr:row>
      <xdr:rowOff>116416</xdr:rowOff>
    </xdr:from>
    <xdr:to>
      <xdr:col>2</xdr:col>
      <xdr:colOff>533400</xdr:colOff>
      <xdr:row>2</xdr:row>
      <xdr:rowOff>97366</xdr:rowOff>
    </xdr:to>
    <xdr:sp macro="" textlink="">
      <xdr:nvSpPr>
        <xdr:cNvPr id="17" name="Retângulo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417CAF0-F8EC-4A2A-A2F5-B7C0B7E4DE6B}"/>
            </a:ext>
          </a:extLst>
        </xdr:cNvPr>
        <xdr:cNvSpPr/>
      </xdr:nvSpPr>
      <xdr:spPr>
        <a:xfrm>
          <a:off x="1028700" y="116416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Cadastro</a:t>
          </a:r>
        </a:p>
      </xdr:txBody>
    </xdr:sp>
    <xdr:clientData/>
  </xdr:twoCellAnchor>
  <xdr:twoCellAnchor>
    <xdr:from>
      <xdr:col>8</xdr:col>
      <xdr:colOff>20110</xdr:colOff>
      <xdr:row>0</xdr:row>
      <xdr:rowOff>126999</xdr:rowOff>
    </xdr:from>
    <xdr:to>
      <xdr:col>10</xdr:col>
      <xdr:colOff>433918</xdr:colOff>
      <xdr:row>2</xdr:row>
      <xdr:rowOff>107949</xdr:rowOff>
    </xdr:to>
    <xdr:sp macro="" textlink="">
      <xdr:nvSpPr>
        <xdr:cNvPr id="18" name="Retângulo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D20DFA7-570E-432A-B052-789AD9BEC5A1}"/>
            </a:ext>
          </a:extLst>
        </xdr:cNvPr>
        <xdr:cNvSpPr/>
      </xdr:nvSpPr>
      <xdr:spPr>
        <a:xfrm>
          <a:off x="6144685" y="126999"/>
          <a:ext cx="1633008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5W2H</a:t>
          </a:r>
        </a:p>
      </xdr:txBody>
    </xdr:sp>
    <xdr:clientData/>
  </xdr:twoCellAnchor>
  <xdr:twoCellAnchor>
    <xdr:from>
      <xdr:col>13</xdr:col>
      <xdr:colOff>291043</xdr:colOff>
      <xdr:row>0</xdr:row>
      <xdr:rowOff>126999</xdr:rowOff>
    </xdr:from>
    <xdr:to>
      <xdr:col>14</xdr:col>
      <xdr:colOff>1253068</xdr:colOff>
      <xdr:row>2</xdr:row>
      <xdr:rowOff>107949</xdr:rowOff>
    </xdr:to>
    <xdr:sp macro="" textlink="">
      <xdr:nvSpPr>
        <xdr:cNvPr id="19" name="Retângulo 1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81ADC99-F84C-46B4-AC32-6B08A4A522F1}"/>
            </a:ext>
          </a:extLst>
        </xdr:cNvPr>
        <xdr:cNvSpPr/>
      </xdr:nvSpPr>
      <xdr:spPr>
        <a:xfrm>
          <a:off x="9558868" y="126999"/>
          <a:ext cx="1628775" cy="36195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Relatórios</a:t>
          </a:r>
        </a:p>
      </xdr:txBody>
    </xdr:sp>
    <xdr:clientData/>
  </xdr:twoCellAnchor>
  <xdr:twoCellAnchor>
    <xdr:from>
      <xdr:col>14</xdr:col>
      <xdr:colOff>1338793</xdr:colOff>
      <xdr:row>0</xdr:row>
      <xdr:rowOff>126999</xdr:rowOff>
    </xdr:from>
    <xdr:to>
      <xdr:col>15</xdr:col>
      <xdr:colOff>348193</xdr:colOff>
      <xdr:row>2</xdr:row>
      <xdr:rowOff>107949</xdr:rowOff>
    </xdr:to>
    <xdr:sp macro="" textlink="">
      <xdr:nvSpPr>
        <xdr:cNvPr id="20" name="Retângulo 1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70BF3E3-24D5-4384-88D1-D8CB4CD31B72}"/>
            </a:ext>
          </a:extLst>
        </xdr:cNvPr>
        <xdr:cNvSpPr/>
      </xdr:nvSpPr>
      <xdr:spPr>
        <a:xfrm>
          <a:off x="11273368" y="126999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Dashboard</a:t>
          </a:r>
        </a:p>
      </xdr:txBody>
    </xdr:sp>
    <xdr:clientData/>
  </xdr:twoCellAnchor>
  <xdr:twoCellAnchor>
    <xdr:from>
      <xdr:col>2</xdr:col>
      <xdr:colOff>600075</xdr:colOff>
      <xdr:row>0</xdr:row>
      <xdr:rowOff>116416</xdr:rowOff>
    </xdr:from>
    <xdr:to>
      <xdr:col>5</xdr:col>
      <xdr:colOff>57150</xdr:colOff>
      <xdr:row>2</xdr:row>
      <xdr:rowOff>97366</xdr:rowOff>
    </xdr:to>
    <xdr:sp macro="" textlink="">
      <xdr:nvSpPr>
        <xdr:cNvPr id="21" name="Retângulo 2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6E9BDC1-5356-4FC4-B891-DB0E54096956}"/>
            </a:ext>
          </a:extLst>
        </xdr:cNvPr>
        <xdr:cNvSpPr/>
      </xdr:nvSpPr>
      <xdr:spPr>
        <a:xfrm>
          <a:off x="2724150" y="116416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Análise de SWOT</a:t>
          </a:r>
        </a:p>
      </xdr:txBody>
    </xdr:sp>
    <xdr:clientData/>
  </xdr:twoCellAnchor>
  <xdr:twoCellAnchor>
    <xdr:from>
      <xdr:col>10</xdr:col>
      <xdr:colOff>505885</xdr:colOff>
      <xdr:row>0</xdr:row>
      <xdr:rowOff>126999</xdr:rowOff>
    </xdr:from>
    <xdr:to>
      <xdr:col>13</xdr:col>
      <xdr:colOff>214843</xdr:colOff>
      <xdr:row>2</xdr:row>
      <xdr:rowOff>107949</xdr:rowOff>
    </xdr:to>
    <xdr:sp macro="" textlink="">
      <xdr:nvSpPr>
        <xdr:cNvPr id="22" name="Retângulo 2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0785801-1697-4A58-9222-AB14FDA54E82}"/>
            </a:ext>
          </a:extLst>
        </xdr:cNvPr>
        <xdr:cNvSpPr/>
      </xdr:nvSpPr>
      <xdr:spPr>
        <a:xfrm>
          <a:off x="7849660" y="126999"/>
          <a:ext cx="1633008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Indicadores</a:t>
          </a:r>
        </a:p>
      </xdr:txBody>
    </xdr:sp>
    <xdr:clientData/>
  </xdr:twoCellAnchor>
  <xdr:twoCellAnchor>
    <xdr:from>
      <xdr:col>5</xdr:col>
      <xdr:colOff>143933</xdr:colOff>
      <xdr:row>0</xdr:row>
      <xdr:rowOff>114300</xdr:rowOff>
    </xdr:from>
    <xdr:to>
      <xdr:col>7</xdr:col>
      <xdr:colOff>553508</xdr:colOff>
      <xdr:row>2</xdr:row>
      <xdr:rowOff>95250</xdr:rowOff>
    </xdr:to>
    <xdr:sp macro="" textlink="">
      <xdr:nvSpPr>
        <xdr:cNvPr id="23" name="Retângulo 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8FA8CDF-7694-46D6-8595-E18200F337FC}"/>
            </a:ext>
          </a:extLst>
        </xdr:cNvPr>
        <xdr:cNvSpPr/>
      </xdr:nvSpPr>
      <xdr:spPr>
        <a:xfrm>
          <a:off x="4439708" y="114300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Objetivos Est.</a:t>
          </a:r>
          <a:r>
            <a:rPr lang="pt-BR" sz="12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e Metas</a:t>
          </a:r>
          <a:endParaRPr lang="pt-BR" sz="12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9</xdr:row>
      <xdr:rowOff>28575</xdr:rowOff>
    </xdr:from>
    <xdr:to>
      <xdr:col>6</xdr:col>
      <xdr:colOff>219075</xdr:colOff>
      <xdr:row>25</xdr:row>
      <xdr:rowOff>190500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ADF015E8-9E4B-4481-9915-EC43E476F1AD}"/>
            </a:ext>
          </a:extLst>
        </xdr:cNvPr>
        <xdr:cNvSpPr/>
      </xdr:nvSpPr>
      <xdr:spPr>
        <a:xfrm>
          <a:off x="142875" y="1847850"/>
          <a:ext cx="6496050" cy="3514725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46217</xdr:colOff>
      <xdr:row>9</xdr:row>
      <xdr:rowOff>123826</xdr:rowOff>
    </xdr:from>
    <xdr:to>
      <xdr:col>4</xdr:col>
      <xdr:colOff>26578</xdr:colOff>
      <xdr:row>14</xdr:row>
      <xdr:rowOff>9526</xdr:rowOff>
    </xdr:to>
    <xdr:sp macro="" textlink="Calculos!D4">
      <xdr:nvSpPr>
        <xdr:cNvPr id="49" name="Retângulo 48">
          <a:extLst>
            <a:ext uri="{FF2B5EF4-FFF2-40B4-BE49-F238E27FC236}">
              <a16:creationId xmlns:a16="http://schemas.microsoft.com/office/drawing/2014/main" id="{65D3ECAD-377F-4A76-AC00-15F924E1A8F2}"/>
            </a:ext>
          </a:extLst>
        </xdr:cNvPr>
        <xdr:cNvSpPr/>
      </xdr:nvSpPr>
      <xdr:spPr>
        <a:xfrm>
          <a:off x="1932167" y="1943101"/>
          <a:ext cx="2113961" cy="933450"/>
        </a:xfrm>
        <a:prstGeom prst="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0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34EC116-5413-411A-B214-B1E0F5BABC8F}" type="TxLink">
            <a:rPr lang="en-US" sz="4000" b="0" i="0" u="none" strike="noStrike">
              <a:solidFill>
                <a:schemeClr val="bg1"/>
              </a:solidFill>
              <a:latin typeface="League Gothic" panose="00000500000000000000" pitchFamily="50" charset="0"/>
              <a:cs typeface="Calibri"/>
            </a:rPr>
            <a:pPr algn="ctr"/>
            <a:t>0</a:t>
          </a:fld>
          <a:endParaRPr lang="en-US" sz="5400" b="0">
            <a:solidFill>
              <a:schemeClr val="bg1"/>
            </a:solidFill>
            <a:latin typeface="League Gothic" panose="00000500000000000000" pitchFamily="50" charset="0"/>
          </a:endParaRPr>
        </a:p>
      </xdr:txBody>
    </xdr:sp>
    <xdr:clientData/>
  </xdr:twoCellAnchor>
  <xdr:twoCellAnchor>
    <xdr:from>
      <xdr:col>5</xdr:col>
      <xdr:colOff>34850</xdr:colOff>
      <xdr:row>9</xdr:row>
      <xdr:rowOff>133351</xdr:rowOff>
    </xdr:from>
    <xdr:to>
      <xdr:col>6</xdr:col>
      <xdr:colOff>85676</xdr:colOff>
      <xdr:row>14</xdr:row>
      <xdr:rowOff>19051</xdr:rowOff>
    </xdr:to>
    <xdr:sp macro="" textlink="Calculos!D7">
      <xdr:nvSpPr>
        <xdr:cNvPr id="50" name="Retângulo 49">
          <a:extLst>
            <a:ext uri="{FF2B5EF4-FFF2-40B4-BE49-F238E27FC236}">
              <a16:creationId xmlns:a16="http://schemas.microsoft.com/office/drawing/2014/main" id="{A9CCE1C6-09BE-438F-90D0-139432F2BE97}"/>
            </a:ext>
          </a:extLst>
        </xdr:cNvPr>
        <xdr:cNvSpPr/>
      </xdr:nvSpPr>
      <xdr:spPr>
        <a:xfrm>
          <a:off x="4321100" y="1952626"/>
          <a:ext cx="2184426" cy="933450"/>
        </a:xfrm>
        <a:prstGeom prst="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0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2D1E1FC-98B3-4032-B2AA-554F6F29CD48}" type="TxLink">
            <a:rPr lang="en-US" sz="4000" b="0" i="0" u="none" strike="noStrike">
              <a:solidFill>
                <a:schemeClr val="bg1"/>
              </a:solidFill>
              <a:latin typeface="League Gothic" panose="00000500000000000000" pitchFamily="50" charset="0"/>
              <a:cs typeface="Calibri"/>
            </a:rPr>
            <a:pPr algn="ctr"/>
            <a:t>0</a:t>
          </a:fld>
          <a:endParaRPr lang="pt-BR" sz="5400" b="0">
            <a:solidFill>
              <a:schemeClr val="bg1"/>
            </a:solidFill>
            <a:latin typeface="League Gothic" panose="00000500000000000000" pitchFamily="50" charset="0"/>
          </a:endParaRPr>
        </a:p>
      </xdr:txBody>
    </xdr:sp>
    <xdr:clientData/>
  </xdr:twoCellAnchor>
  <xdr:twoCellAnchor>
    <xdr:from>
      <xdr:col>3</xdr:col>
      <xdr:colOff>66722</xdr:colOff>
      <xdr:row>15</xdr:row>
      <xdr:rowOff>19051</xdr:rowOff>
    </xdr:from>
    <xdr:to>
      <xdr:col>4</xdr:col>
      <xdr:colOff>28575</xdr:colOff>
      <xdr:row>19</xdr:row>
      <xdr:rowOff>114301</xdr:rowOff>
    </xdr:to>
    <xdr:sp macro="" textlink="Calculos!E4">
      <xdr:nvSpPr>
        <xdr:cNvPr id="51" name="Retângulo 50">
          <a:extLst>
            <a:ext uri="{FF2B5EF4-FFF2-40B4-BE49-F238E27FC236}">
              <a16:creationId xmlns:a16="http://schemas.microsoft.com/office/drawing/2014/main" id="{7CEB7A39-5CA4-42B4-954C-B30DA25B60E7}"/>
            </a:ext>
          </a:extLst>
        </xdr:cNvPr>
        <xdr:cNvSpPr/>
      </xdr:nvSpPr>
      <xdr:spPr>
        <a:xfrm>
          <a:off x="1952672" y="3095626"/>
          <a:ext cx="2095453" cy="933450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D07ACFA-D590-4B3E-9EA4-79F3CEA88C16}" type="TxLink">
            <a:rPr lang="en-US" sz="4000" b="0" i="0" u="none" strike="noStrike">
              <a:solidFill>
                <a:sysClr val="windowText" lastClr="000000"/>
              </a:solidFill>
              <a:latin typeface="League Gothic" panose="00000500000000000000" pitchFamily="50" charset="0"/>
              <a:cs typeface="Calibri"/>
            </a:rPr>
            <a:pPr algn="ctr"/>
            <a:t>0</a:t>
          </a:fld>
          <a:endParaRPr lang="pt-BR" sz="5400" b="0">
            <a:solidFill>
              <a:sysClr val="windowText" lastClr="000000"/>
            </a:solidFill>
            <a:latin typeface="League Gothic" panose="00000500000000000000" pitchFamily="50" charset="0"/>
          </a:endParaRPr>
        </a:p>
      </xdr:txBody>
    </xdr:sp>
    <xdr:clientData/>
  </xdr:twoCellAnchor>
  <xdr:twoCellAnchor>
    <xdr:from>
      <xdr:col>5</xdr:col>
      <xdr:colOff>65607</xdr:colOff>
      <xdr:row>15</xdr:row>
      <xdr:rowOff>28576</xdr:rowOff>
    </xdr:from>
    <xdr:to>
      <xdr:col>6</xdr:col>
      <xdr:colOff>86234</xdr:colOff>
      <xdr:row>19</xdr:row>
      <xdr:rowOff>123826</xdr:rowOff>
    </xdr:to>
    <xdr:sp macro="" textlink="Calculos!E7">
      <xdr:nvSpPr>
        <xdr:cNvPr id="52" name="Retângulo 51">
          <a:extLst>
            <a:ext uri="{FF2B5EF4-FFF2-40B4-BE49-F238E27FC236}">
              <a16:creationId xmlns:a16="http://schemas.microsoft.com/office/drawing/2014/main" id="{5B8E4AD0-75D5-4962-8635-C09C1FF2EFC3}"/>
            </a:ext>
          </a:extLst>
        </xdr:cNvPr>
        <xdr:cNvSpPr/>
      </xdr:nvSpPr>
      <xdr:spPr>
        <a:xfrm>
          <a:off x="4351857" y="3105151"/>
          <a:ext cx="2154227" cy="933450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242C8-DEF4-4737-85F0-6C73369820CE}" type="TxLink">
            <a:rPr lang="en-US" sz="4000" b="0" i="0" u="none" strike="noStrike">
              <a:solidFill>
                <a:sysClr val="windowText" lastClr="000000"/>
              </a:solidFill>
              <a:latin typeface="League Gothic" panose="00000500000000000000" pitchFamily="50" charset="0"/>
              <a:cs typeface="Calibri"/>
            </a:rPr>
            <a:pPr algn="ctr"/>
            <a:t>0</a:t>
          </a:fld>
          <a:endParaRPr lang="pt-BR" sz="5400" b="0">
            <a:solidFill>
              <a:sysClr val="windowText" lastClr="000000"/>
            </a:solidFill>
            <a:latin typeface="League Gothic" panose="00000500000000000000" pitchFamily="50" charset="0"/>
          </a:endParaRPr>
        </a:p>
      </xdr:txBody>
    </xdr:sp>
    <xdr:clientData/>
  </xdr:twoCellAnchor>
  <xdr:twoCellAnchor>
    <xdr:from>
      <xdr:col>5</xdr:col>
      <xdr:colOff>55354</xdr:colOff>
      <xdr:row>20</xdr:row>
      <xdr:rowOff>123826</xdr:rowOff>
    </xdr:from>
    <xdr:to>
      <xdr:col>6</xdr:col>
      <xdr:colOff>85725</xdr:colOff>
      <xdr:row>25</xdr:row>
      <xdr:rowOff>9526</xdr:rowOff>
    </xdr:to>
    <xdr:sp macro="" textlink="Calculos!F7">
      <xdr:nvSpPr>
        <xdr:cNvPr id="53" name="Retângulo 52">
          <a:extLst>
            <a:ext uri="{FF2B5EF4-FFF2-40B4-BE49-F238E27FC236}">
              <a16:creationId xmlns:a16="http://schemas.microsoft.com/office/drawing/2014/main" id="{4DF5CA3F-F30E-4A9D-A0EC-4BCD0E026496}"/>
            </a:ext>
          </a:extLst>
        </xdr:cNvPr>
        <xdr:cNvSpPr/>
      </xdr:nvSpPr>
      <xdr:spPr>
        <a:xfrm>
          <a:off x="4341604" y="4248151"/>
          <a:ext cx="2163971" cy="933450"/>
        </a:xfrm>
        <a:prstGeom prst="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7D99B2A-D64A-496E-A592-91CB75B86499}" type="TxLink">
            <a:rPr lang="en-US" sz="4000" b="0" i="0" u="none" strike="noStrike">
              <a:solidFill>
                <a:schemeClr val="bg1"/>
              </a:solidFill>
              <a:latin typeface="League Gothic" panose="00000500000000000000" pitchFamily="50" charset="0"/>
              <a:cs typeface="Calibri"/>
            </a:rPr>
            <a:pPr algn="ctr"/>
            <a:t>0</a:t>
          </a:fld>
          <a:endParaRPr lang="pt-BR" sz="5400" b="0">
            <a:solidFill>
              <a:schemeClr val="bg1"/>
            </a:solidFill>
            <a:latin typeface="League Gothic" panose="00000500000000000000" pitchFamily="50" charset="0"/>
          </a:endParaRPr>
        </a:p>
      </xdr:txBody>
    </xdr:sp>
    <xdr:clientData/>
  </xdr:twoCellAnchor>
  <xdr:twoCellAnchor>
    <xdr:from>
      <xdr:col>1</xdr:col>
      <xdr:colOff>66675</xdr:colOff>
      <xdr:row>9</xdr:row>
      <xdr:rowOff>123826</xdr:rowOff>
    </xdr:from>
    <xdr:to>
      <xdr:col>1</xdr:col>
      <xdr:colOff>1602146</xdr:colOff>
      <xdr:row>14</xdr:row>
      <xdr:rowOff>9526</xdr:rowOff>
    </xdr:to>
    <xdr:sp macro="" textlink="">
      <xdr:nvSpPr>
        <xdr:cNvPr id="54" name="Retângulo 53">
          <a:extLst>
            <a:ext uri="{FF2B5EF4-FFF2-40B4-BE49-F238E27FC236}">
              <a16:creationId xmlns:a16="http://schemas.microsoft.com/office/drawing/2014/main" id="{9EBFDC8F-B56D-449E-BB39-0135C564BEC8}"/>
            </a:ext>
          </a:extLst>
        </xdr:cNvPr>
        <xdr:cNvSpPr/>
      </xdr:nvSpPr>
      <xdr:spPr>
        <a:xfrm>
          <a:off x="200025" y="1943101"/>
          <a:ext cx="1535471" cy="933450"/>
        </a:xfrm>
        <a:prstGeom prst="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0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League Gothic" panose="00000500000000000000" pitchFamily="50" charset="0"/>
            </a:rPr>
            <a:t>REALIZADO</a:t>
          </a:r>
        </a:p>
      </xdr:txBody>
    </xdr:sp>
    <xdr:clientData/>
  </xdr:twoCellAnchor>
  <xdr:twoCellAnchor>
    <xdr:from>
      <xdr:col>1</xdr:col>
      <xdr:colOff>66675</xdr:colOff>
      <xdr:row>15</xdr:row>
      <xdr:rowOff>19051</xdr:rowOff>
    </xdr:from>
    <xdr:to>
      <xdr:col>2</xdr:col>
      <xdr:colOff>2485</xdr:colOff>
      <xdr:row>19</xdr:row>
      <xdr:rowOff>114301</xdr:rowOff>
    </xdr:to>
    <xdr:sp macro="" textlink="">
      <xdr:nvSpPr>
        <xdr:cNvPr id="55" name="Retângulo 54">
          <a:extLst>
            <a:ext uri="{FF2B5EF4-FFF2-40B4-BE49-F238E27FC236}">
              <a16:creationId xmlns:a16="http://schemas.microsoft.com/office/drawing/2014/main" id="{6BB7A696-55CA-4621-90EB-34BC480459B9}"/>
            </a:ext>
          </a:extLst>
        </xdr:cNvPr>
        <xdr:cNvSpPr/>
      </xdr:nvSpPr>
      <xdr:spPr>
        <a:xfrm>
          <a:off x="200025" y="3095626"/>
          <a:ext cx="1545535" cy="933450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solidFill>
                <a:sysClr val="windowText" lastClr="000000"/>
              </a:solidFill>
              <a:latin typeface="League Gothic" panose="00000500000000000000" pitchFamily="50" charset="0"/>
            </a:rPr>
            <a:t>EM ANDAMENTO</a:t>
          </a:r>
        </a:p>
      </xdr:txBody>
    </xdr:sp>
    <xdr:clientData/>
  </xdr:twoCellAnchor>
  <xdr:twoCellAnchor>
    <xdr:from>
      <xdr:col>3</xdr:col>
      <xdr:colOff>87228</xdr:colOff>
      <xdr:row>20</xdr:row>
      <xdr:rowOff>114301</xdr:rowOff>
    </xdr:from>
    <xdr:to>
      <xdr:col>4</xdr:col>
      <xdr:colOff>9525</xdr:colOff>
      <xdr:row>25</xdr:row>
      <xdr:rowOff>1</xdr:rowOff>
    </xdr:to>
    <xdr:sp macro="" textlink="Calculos!F4">
      <xdr:nvSpPr>
        <xdr:cNvPr id="56" name="Retângulo 55">
          <a:extLst>
            <a:ext uri="{FF2B5EF4-FFF2-40B4-BE49-F238E27FC236}">
              <a16:creationId xmlns:a16="http://schemas.microsoft.com/office/drawing/2014/main" id="{D4655779-41BD-45B0-9407-89FB91F76DF1}"/>
            </a:ext>
          </a:extLst>
        </xdr:cNvPr>
        <xdr:cNvSpPr/>
      </xdr:nvSpPr>
      <xdr:spPr>
        <a:xfrm>
          <a:off x="1973178" y="4238626"/>
          <a:ext cx="2055897" cy="933450"/>
        </a:xfrm>
        <a:prstGeom prst="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DCF1029-4120-43F0-B978-0DB7852A4B81}" type="TxLink">
            <a:rPr lang="en-US" sz="4000" b="0" i="0" u="none" strike="noStrike">
              <a:solidFill>
                <a:schemeClr val="bg1"/>
              </a:solidFill>
              <a:latin typeface="League Gothic" panose="00000500000000000000" pitchFamily="50" charset="0"/>
              <a:cs typeface="Calibri"/>
            </a:rPr>
            <a:pPr algn="ctr"/>
            <a:t>0</a:t>
          </a:fld>
          <a:endParaRPr lang="pt-BR" sz="5400" b="0">
            <a:solidFill>
              <a:schemeClr val="bg1"/>
            </a:solidFill>
            <a:latin typeface="League Gothic" panose="00000500000000000000" pitchFamily="50" charset="0"/>
          </a:endParaRPr>
        </a:p>
      </xdr:txBody>
    </xdr:sp>
    <xdr:clientData/>
  </xdr:twoCellAnchor>
  <xdr:twoCellAnchor>
    <xdr:from>
      <xdr:col>1</xdr:col>
      <xdr:colOff>85725</xdr:colOff>
      <xdr:row>20</xdr:row>
      <xdr:rowOff>123826</xdr:rowOff>
    </xdr:from>
    <xdr:to>
      <xdr:col>2</xdr:col>
      <xdr:colOff>19050</xdr:colOff>
      <xdr:row>25</xdr:row>
      <xdr:rowOff>9526</xdr:rowOff>
    </xdr:to>
    <xdr:sp macro="" textlink="">
      <xdr:nvSpPr>
        <xdr:cNvPr id="57" name="Retângulo 56">
          <a:extLst>
            <a:ext uri="{FF2B5EF4-FFF2-40B4-BE49-F238E27FC236}">
              <a16:creationId xmlns:a16="http://schemas.microsoft.com/office/drawing/2014/main" id="{560DE04F-05EB-4459-943C-F12A128BF0F0}"/>
            </a:ext>
          </a:extLst>
        </xdr:cNvPr>
        <xdr:cNvSpPr/>
      </xdr:nvSpPr>
      <xdr:spPr>
        <a:xfrm>
          <a:off x="219075" y="4248151"/>
          <a:ext cx="1543050" cy="933450"/>
        </a:xfrm>
        <a:prstGeom prst="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solidFill>
                <a:schemeClr val="bg1"/>
              </a:solidFill>
              <a:latin typeface="League Gothic" panose="00000500000000000000" pitchFamily="50" charset="0"/>
            </a:rPr>
            <a:t>PENDENTE</a:t>
          </a:r>
        </a:p>
      </xdr:txBody>
    </xdr:sp>
    <xdr:clientData/>
  </xdr:twoCellAnchor>
  <xdr:twoCellAnchor>
    <xdr:from>
      <xdr:col>6</xdr:col>
      <xdr:colOff>476250</xdr:colOff>
      <xdr:row>9</xdr:row>
      <xdr:rowOff>0</xdr:rowOff>
    </xdr:from>
    <xdr:to>
      <xdr:col>15</xdr:col>
      <xdr:colOff>476250</xdr:colOff>
      <xdr:row>22</xdr:row>
      <xdr:rowOff>47625</xdr:rowOff>
    </xdr:to>
    <xdr:graphicFrame macro="">
      <xdr:nvGraphicFramePr>
        <xdr:cNvPr id="58" name="Gráfico 57">
          <a:extLst>
            <a:ext uri="{FF2B5EF4-FFF2-40B4-BE49-F238E27FC236}">
              <a16:creationId xmlns:a16="http://schemas.microsoft.com/office/drawing/2014/main" id="{BDDEF20B-C7B2-448D-8167-D5C430E80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542925</xdr:colOff>
      <xdr:row>22</xdr:row>
      <xdr:rowOff>180975</xdr:rowOff>
    </xdr:from>
    <xdr:to>
      <xdr:col>8</xdr:col>
      <xdr:colOff>771526</xdr:colOff>
      <xdr:row>25</xdr:row>
      <xdr:rowOff>152400</xdr:rowOff>
    </xdr:to>
    <xdr:sp macro="[0]!Atualizar_Tabela" textlink="">
      <xdr:nvSpPr>
        <xdr:cNvPr id="59" name="Retângulo 58">
          <a:extLst>
            <a:ext uri="{FF2B5EF4-FFF2-40B4-BE49-F238E27FC236}">
              <a16:creationId xmlns:a16="http://schemas.microsoft.com/office/drawing/2014/main" id="{C331B29D-3DFD-4458-AC0C-881944631CB4}"/>
            </a:ext>
          </a:extLst>
        </xdr:cNvPr>
        <xdr:cNvSpPr/>
      </xdr:nvSpPr>
      <xdr:spPr>
        <a:xfrm>
          <a:off x="6886575" y="4724400"/>
          <a:ext cx="1905001" cy="600075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0">
              <a:latin typeface="League Gothic" panose="00000500000000000000" pitchFamily="50" charset="0"/>
            </a:rPr>
            <a:t>Atualizar</a:t>
          </a:r>
        </a:p>
      </xdr:txBody>
    </xdr:sp>
    <xdr:clientData/>
  </xdr:twoCellAnchor>
  <xdr:twoCellAnchor editAs="oneCell">
    <xdr:from>
      <xdr:col>0</xdr:col>
      <xdr:colOff>66675</xdr:colOff>
      <xdr:row>0</xdr:row>
      <xdr:rowOff>66675</xdr:rowOff>
    </xdr:from>
    <xdr:to>
      <xdr:col>1</xdr:col>
      <xdr:colOff>819150</xdr:colOff>
      <xdr:row>5</xdr:row>
      <xdr:rowOff>22098</xdr:rowOff>
    </xdr:to>
    <xdr:pic>
      <xdr:nvPicPr>
        <xdr:cNvPr id="76" name="Imagem 7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FB6888A-08DF-4638-B901-C28007C0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66675"/>
          <a:ext cx="885825" cy="955548"/>
        </a:xfrm>
        <a:prstGeom prst="rect">
          <a:avLst/>
        </a:prstGeom>
      </xdr:spPr>
    </xdr:pic>
    <xdr:clientData/>
  </xdr:twoCellAnchor>
  <xdr:twoCellAnchor>
    <xdr:from>
      <xdr:col>1</xdr:col>
      <xdr:colOff>1057275</xdr:colOff>
      <xdr:row>3</xdr:row>
      <xdr:rowOff>171449</xdr:rowOff>
    </xdr:from>
    <xdr:to>
      <xdr:col>3</xdr:col>
      <xdr:colOff>666750</xdr:colOff>
      <xdr:row>4</xdr:row>
      <xdr:rowOff>190499</xdr:rowOff>
    </xdr:to>
    <xdr:sp macro="" textlink="">
      <xdr:nvSpPr>
        <xdr:cNvPr id="83" name="Retângulo 8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AAB18F6-2385-402C-9715-5C989143D6C6}"/>
            </a:ext>
          </a:extLst>
        </xdr:cNvPr>
        <xdr:cNvSpPr/>
      </xdr:nvSpPr>
      <xdr:spPr>
        <a:xfrm>
          <a:off x="1190625" y="771524"/>
          <a:ext cx="13620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Acompanhamento</a:t>
          </a:r>
        </a:p>
      </xdr:txBody>
    </xdr:sp>
    <xdr:clientData/>
  </xdr:twoCellAnchor>
  <xdr:twoCellAnchor>
    <xdr:from>
      <xdr:col>5</xdr:col>
      <xdr:colOff>76200</xdr:colOff>
      <xdr:row>3</xdr:row>
      <xdr:rowOff>171449</xdr:rowOff>
    </xdr:from>
    <xdr:to>
      <xdr:col>5</xdr:col>
      <xdr:colOff>1552575</xdr:colOff>
      <xdr:row>4</xdr:row>
      <xdr:rowOff>190499</xdr:rowOff>
    </xdr:to>
    <xdr:sp macro="" textlink="">
      <xdr:nvSpPr>
        <xdr:cNvPr id="84" name="Retângulo 8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69B7969-89C5-4591-BF78-2F2338A3939D}"/>
            </a:ext>
          </a:extLst>
        </xdr:cNvPr>
        <xdr:cNvSpPr/>
      </xdr:nvSpPr>
      <xdr:spPr>
        <a:xfrm>
          <a:off x="4257675" y="771524"/>
          <a:ext cx="1476375" cy="219075"/>
        </a:xfrm>
        <a:prstGeom prst="rect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C00000"/>
              </a:solidFill>
              <a:latin typeface="Cairo" panose="00000500000000000000" pitchFamily="2" charset="-78"/>
              <a:cs typeface="Cairo" panose="00000500000000000000" pitchFamily="2" charset="-78"/>
            </a:rPr>
            <a:t>Ação</a:t>
          </a:r>
          <a:r>
            <a:rPr lang="pt-BR" sz="1100" b="1" baseline="0">
              <a:solidFill>
                <a:srgbClr val="C00000"/>
              </a:solidFill>
              <a:latin typeface="Cairo" panose="00000500000000000000" pitchFamily="2" charset="-78"/>
              <a:cs typeface="Cairo" panose="00000500000000000000" pitchFamily="2" charset="-78"/>
            </a:rPr>
            <a:t> por PETiano (a)</a:t>
          </a:r>
          <a:endParaRPr lang="pt-BR" sz="1100" b="1">
            <a:solidFill>
              <a:srgbClr val="C00000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  <xdr:twoCellAnchor>
    <xdr:from>
      <xdr:col>3</xdr:col>
      <xdr:colOff>847725</xdr:colOff>
      <xdr:row>3</xdr:row>
      <xdr:rowOff>171449</xdr:rowOff>
    </xdr:from>
    <xdr:to>
      <xdr:col>4</xdr:col>
      <xdr:colOff>76200</xdr:colOff>
      <xdr:row>4</xdr:row>
      <xdr:rowOff>190499</xdr:rowOff>
    </xdr:to>
    <xdr:sp macro="" textlink="">
      <xdr:nvSpPr>
        <xdr:cNvPr id="85" name="Retângulo 8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1C473AD-9F87-4AFB-9C2C-81827523477E}"/>
            </a:ext>
          </a:extLst>
        </xdr:cNvPr>
        <xdr:cNvSpPr/>
      </xdr:nvSpPr>
      <xdr:spPr>
        <a:xfrm>
          <a:off x="2733675" y="771524"/>
          <a:ext cx="13620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Ação Plan vs</a:t>
          </a:r>
          <a:r>
            <a:rPr lang="pt-BR" sz="11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Realiz.</a:t>
          </a:r>
          <a:endParaRPr lang="pt-BR" sz="11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  <xdr:twoCellAnchor>
    <xdr:from>
      <xdr:col>1</xdr:col>
      <xdr:colOff>866775</xdr:colOff>
      <xdr:row>0</xdr:row>
      <xdr:rowOff>164041</xdr:rowOff>
    </xdr:from>
    <xdr:to>
      <xdr:col>3</xdr:col>
      <xdr:colOff>742950</xdr:colOff>
      <xdr:row>2</xdr:row>
      <xdr:rowOff>125941</xdr:rowOff>
    </xdr:to>
    <xdr:sp macro="" textlink="">
      <xdr:nvSpPr>
        <xdr:cNvPr id="24" name="Retângulo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5012A18-64A3-407C-A751-D315A31FBA5F}"/>
            </a:ext>
          </a:extLst>
        </xdr:cNvPr>
        <xdr:cNvSpPr/>
      </xdr:nvSpPr>
      <xdr:spPr>
        <a:xfrm>
          <a:off x="1000125" y="164041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Cadastro</a:t>
          </a:r>
        </a:p>
      </xdr:txBody>
    </xdr:sp>
    <xdr:clientData/>
  </xdr:twoCellAnchor>
  <xdr:twoCellAnchor>
    <xdr:from>
      <xdr:col>5</xdr:col>
      <xdr:colOff>1934635</xdr:colOff>
      <xdr:row>0</xdr:row>
      <xdr:rowOff>174624</xdr:rowOff>
    </xdr:from>
    <xdr:to>
      <xdr:col>7</xdr:col>
      <xdr:colOff>586318</xdr:colOff>
      <xdr:row>2</xdr:row>
      <xdr:rowOff>136524</xdr:rowOff>
    </xdr:to>
    <xdr:sp macro="" textlink="">
      <xdr:nvSpPr>
        <xdr:cNvPr id="25" name="Retângulo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723B962-A935-47D2-B469-840697EF96AC}"/>
            </a:ext>
          </a:extLst>
        </xdr:cNvPr>
        <xdr:cNvSpPr/>
      </xdr:nvSpPr>
      <xdr:spPr>
        <a:xfrm>
          <a:off x="6116110" y="174624"/>
          <a:ext cx="1633008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5W2H</a:t>
          </a:r>
        </a:p>
      </xdr:txBody>
    </xdr:sp>
    <xdr:clientData/>
  </xdr:twoCellAnchor>
  <xdr:twoCellAnchor>
    <xdr:from>
      <xdr:col>8</xdr:col>
      <xdr:colOff>910168</xdr:colOff>
      <xdr:row>0</xdr:row>
      <xdr:rowOff>174624</xdr:rowOff>
    </xdr:from>
    <xdr:to>
      <xdr:col>10</xdr:col>
      <xdr:colOff>452968</xdr:colOff>
      <xdr:row>2</xdr:row>
      <xdr:rowOff>136524</xdr:rowOff>
    </xdr:to>
    <xdr:sp macro="" textlink="">
      <xdr:nvSpPr>
        <xdr:cNvPr id="26" name="Retângulo 2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3E7F80C-1006-4B3C-8F7F-EE42B567FB7E}"/>
            </a:ext>
          </a:extLst>
        </xdr:cNvPr>
        <xdr:cNvSpPr/>
      </xdr:nvSpPr>
      <xdr:spPr>
        <a:xfrm>
          <a:off x="9530293" y="174624"/>
          <a:ext cx="1628775" cy="36195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Relatórios</a:t>
          </a:r>
        </a:p>
      </xdr:txBody>
    </xdr:sp>
    <xdr:clientData/>
  </xdr:twoCellAnchor>
  <xdr:twoCellAnchor>
    <xdr:from>
      <xdr:col>10</xdr:col>
      <xdr:colOff>538693</xdr:colOff>
      <xdr:row>0</xdr:row>
      <xdr:rowOff>174624</xdr:rowOff>
    </xdr:from>
    <xdr:to>
      <xdr:col>12</xdr:col>
      <xdr:colOff>348193</xdr:colOff>
      <xdr:row>2</xdr:row>
      <xdr:rowOff>136524</xdr:rowOff>
    </xdr:to>
    <xdr:sp macro="" textlink="">
      <xdr:nvSpPr>
        <xdr:cNvPr id="27" name="Retângulo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89261E7-E940-41D5-9746-C93D36559FE4}"/>
            </a:ext>
          </a:extLst>
        </xdr:cNvPr>
        <xdr:cNvSpPr/>
      </xdr:nvSpPr>
      <xdr:spPr>
        <a:xfrm>
          <a:off x="11244793" y="174624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Dashboard</a:t>
          </a:r>
        </a:p>
      </xdr:txBody>
    </xdr:sp>
    <xdr:clientData/>
  </xdr:twoCellAnchor>
  <xdr:twoCellAnchor>
    <xdr:from>
      <xdr:col>3</xdr:col>
      <xdr:colOff>809625</xdr:colOff>
      <xdr:row>0</xdr:row>
      <xdr:rowOff>164041</xdr:rowOff>
    </xdr:from>
    <xdr:to>
      <xdr:col>5</xdr:col>
      <xdr:colOff>142875</xdr:colOff>
      <xdr:row>2</xdr:row>
      <xdr:rowOff>125941</xdr:rowOff>
    </xdr:to>
    <xdr:sp macro="" textlink="">
      <xdr:nvSpPr>
        <xdr:cNvPr id="28" name="Retângulo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7FFD6D2-3873-48BA-8A43-A1F10769AA68}"/>
            </a:ext>
          </a:extLst>
        </xdr:cNvPr>
        <xdr:cNvSpPr/>
      </xdr:nvSpPr>
      <xdr:spPr>
        <a:xfrm>
          <a:off x="2695575" y="164041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Análise de SWOT</a:t>
          </a:r>
        </a:p>
      </xdr:txBody>
    </xdr:sp>
    <xdr:clientData/>
  </xdr:twoCellAnchor>
  <xdr:twoCellAnchor>
    <xdr:from>
      <xdr:col>7</xdr:col>
      <xdr:colOff>658285</xdr:colOff>
      <xdr:row>0</xdr:row>
      <xdr:rowOff>174624</xdr:rowOff>
    </xdr:from>
    <xdr:to>
      <xdr:col>8</xdr:col>
      <xdr:colOff>833968</xdr:colOff>
      <xdr:row>2</xdr:row>
      <xdr:rowOff>136524</xdr:rowOff>
    </xdr:to>
    <xdr:sp macro="" textlink="">
      <xdr:nvSpPr>
        <xdr:cNvPr id="29" name="Retângulo 2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B34B87B-3E7C-4539-B6DC-6E4E9651A756}"/>
            </a:ext>
          </a:extLst>
        </xdr:cNvPr>
        <xdr:cNvSpPr/>
      </xdr:nvSpPr>
      <xdr:spPr>
        <a:xfrm>
          <a:off x="7821085" y="174624"/>
          <a:ext cx="1633008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Indicadores</a:t>
          </a:r>
        </a:p>
      </xdr:txBody>
    </xdr:sp>
    <xdr:clientData/>
  </xdr:twoCellAnchor>
  <xdr:twoCellAnchor>
    <xdr:from>
      <xdr:col>5</xdr:col>
      <xdr:colOff>229658</xdr:colOff>
      <xdr:row>0</xdr:row>
      <xdr:rowOff>161925</xdr:rowOff>
    </xdr:from>
    <xdr:to>
      <xdr:col>5</xdr:col>
      <xdr:colOff>1858433</xdr:colOff>
      <xdr:row>2</xdr:row>
      <xdr:rowOff>123825</xdr:rowOff>
    </xdr:to>
    <xdr:sp macro="" textlink="">
      <xdr:nvSpPr>
        <xdr:cNvPr id="30" name="Retângulo 2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59E93E7-1FC3-40E0-92AA-9E47B218EC92}"/>
            </a:ext>
          </a:extLst>
        </xdr:cNvPr>
        <xdr:cNvSpPr/>
      </xdr:nvSpPr>
      <xdr:spPr>
        <a:xfrm>
          <a:off x="4411133" y="161925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Objetivos Est.</a:t>
          </a:r>
          <a:r>
            <a:rPr lang="pt-BR" sz="12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e Metas</a:t>
          </a:r>
          <a:endParaRPr lang="pt-BR" sz="12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28576</xdr:rowOff>
    </xdr:from>
    <xdr:to>
      <xdr:col>1</xdr:col>
      <xdr:colOff>152400</xdr:colOff>
      <xdr:row>5</xdr:row>
      <xdr:rowOff>31624</xdr:rowOff>
    </xdr:to>
    <xdr:pic>
      <xdr:nvPicPr>
        <xdr:cNvPr id="21" name="Imagem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9BA2E9-EE23-4108-9422-9AAF6654E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8576"/>
          <a:ext cx="885825" cy="955548"/>
        </a:xfrm>
        <a:prstGeom prst="rect">
          <a:avLst/>
        </a:prstGeom>
      </xdr:spPr>
    </xdr:pic>
    <xdr:clientData/>
  </xdr:twoCellAnchor>
  <xdr:twoCellAnchor>
    <xdr:from>
      <xdr:col>5</xdr:col>
      <xdr:colOff>561975</xdr:colOff>
      <xdr:row>6</xdr:row>
      <xdr:rowOff>0</xdr:rowOff>
    </xdr:from>
    <xdr:to>
      <xdr:col>8</xdr:col>
      <xdr:colOff>171450</xdr:colOff>
      <xdr:row>12</xdr:row>
      <xdr:rowOff>9525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454D097C-DACB-4AD4-8979-B016979C2023}"/>
            </a:ext>
          </a:extLst>
        </xdr:cNvPr>
        <xdr:cNvGrpSpPr/>
      </xdr:nvGrpSpPr>
      <xdr:grpSpPr>
        <a:xfrm>
          <a:off x="4352925" y="1152525"/>
          <a:ext cx="1943100" cy="1171575"/>
          <a:chOff x="514350" y="1066800"/>
          <a:chExt cx="1943100" cy="1152525"/>
        </a:xfrm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Calculos!D18">
        <xdr:nvSpPr>
          <xdr:cNvPr id="6" name="Retângulo 5">
            <a:extLst>
              <a:ext uri="{FF2B5EF4-FFF2-40B4-BE49-F238E27FC236}">
                <a16:creationId xmlns:a16="http://schemas.microsoft.com/office/drawing/2014/main" id="{7BBECCF3-F94D-4CEA-ACFA-18F9D0D19287}"/>
              </a:ext>
            </a:extLst>
          </xdr:cNvPr>
          <xdr:cNvSpPr/>
        </xdr:nvSpPr>
        <xdr:spPr>
          <a:xfrm>
            <a:off x="514350" y="1428750"/>
            <a:ext cx="1943100" cy="790575"/>
          </a:xfrm>
          <a:prstGeom prst="rect">
            <a:avLst/>
          </a:prstGeom>
          <a:solidFill>
            <a:srgbClr val="002060"/>
          </a:solidFill>
          <a:ln>
            <a:noFill/>
          </a:ln>
          <a:effectLst/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A9D9F13-B097-40B1-A668-039A689115C3}" type="TxLink">
              <a:rPr lang="en-US" sz="1600" b="0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2</a:t>
            </a:fld>
            <a:endParaRPr lang="pt-BR" sz="3600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465997A-1755-4517-AB02-22344A0EB47A}"/>
              </a:ext>
            </a:extLst>
          </xdr:cNvPr>
          <xdr:cNvSpPr/>
        </xdr:nvSpPr>
        <xdr:spPr>
          <a:xfrm>
            <a:off x="514350" y="1066800"/>
            <a:ext cx="1943100" cy="333375"/>
          </a:xfrm>
          <a:prstGeom prst="rect">
            <a:avLst/>
          </a:prstGeom>
          <a:solidFill>
            <a:srgbClr val="C00000"/>
          </a:solidFill>
          <a:ln>
            <a:noFill/>
          </a:ln>
          <a:effectLst/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solidFill>
                  <a:schemeClr val="bg1"/>
                </a:solidFill>
                <a:latin typeface="League Gothic" panose="00000500000000000000" pitchFamily="50" charset="0"/>
              </a:rPr>
              <a:t>Metas</a:t>
            </a:r>
            <a:r>
              <a:rPr lang="pt-BR" sz="1400" baseline="0">
                <a:solidFill>
                  <a:schemeClr val="bg1"/>
                </a:solidFill>
                <a:latin typeface="League Gothic" panose="00000500000000000000" pitchFamily="50" charset="0"/>
              </a:rPr>
              <a:t> superadas</a:t>
            </a:r>
            <a:endParaRPr lang="pt-BR" sz="1400">
              <a:solidFill>
                <a:schemeClr val="bg1"/>
              </a:solidFill>
              <a:latin typeface="League Gothic" panose="00000500000000000000" pitchFamily="50" charset="0"/>
            </a:endParaRPr>
          </a:p>
        </xdr:txBody>
      </xdr:sp>
    </xdr:grpSp>
    <xdr:clientData/>
  </xdr:twoCellAnchor>
  <xdr:twoCellAnchor>
    <xdr:from>
      <xdr:col>0</xdr:col>
      <xdr:colOff>238125</xdr:colOff>
      <xdr:row>6</xdr:row>
      <xdr:rowOff>0</xdr:rowOff>
    </xdr:from>
    <xdr:to>
      <xdr:col>3</xdr:col>
      <xdr:colOff>600075</xdr:colOff>
      <xdr:row>12</xdr:row>
      <xdr:rowOff>9525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EBAA6FD4-0438-42D6-B048-29EC2837FB10}"/>
            </a:ext>
          </a:extLst>
        </xdr:cNvPr>
        <xdr:cNvGrpSpPr/>
      </xdr:nvGrpSpPr>
      <xdr:grpSpPr>
        <a:xfrm>
          <a:off x="238125" y="1152525"/>
          <a:ext cx="1943100" cy="1171575"/>
          <a:chOff x="514350" y="1066800"/>
          <a:chExt cx="1943100" cy="1152525"/>
        </a:xfrm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Turnover!C12">
        <xdr:nvSpPr>
          <xdr:cNvPr id="37" name="Retângulo 36">
            <a:extLst>
              <a:ext uri="{FF2B5EF4-FFF2-40B4-BE49-F238E27FC236}">
                <a16:creationId xmlns:a16="http://schemas.microsoft.com/office/drawing/2014/main" id="{9FF78180-A56E-4C54-AED2-45AEA59B253A}"/>
              </a:ext>
            </a:extLst>
          </xdr:cNvPr>
          <xdr:cNvSpPr/>
        </xdr:nvSpPr>
        <xdr:spPr>
          <a:xfrm>
            <a:off x="514350" y="1428750"/>
            <a:ext cx="1943100" cy="790575"/>
          </a:xfrm>
          <a:prstGeom prst="rect">
            <a:avLst/>
          </a:prstGeom>
          <a:solidFill>
            <a:srgbClr val="002060"/>
          </a:solidFill>
          <a:ln>
            <a:noFill/>
          </a:ln>
          <a:effectLst/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444F1FF-3232-4F76-8E27-4992C5C68FA4}" type="TxLink">
              <a:rPr lang="en-US" sz="1600" b="0" i="0" u="none" strike="noStrike">
                <a:solidFill>
                  <a:schemeClr val="bg1"/>
                </a:solidFill>
                <a:latin typeface="Bahnschrift Light" panose="020B0502040204020203" pitchFamily="34" charset="0"/>
              </a:rPr>
              <a:pPr algn="ctr"/>
              <a:t>31,25%</a:t>
            </a:fld>
            <a:endParaRPr lang="pt-BR" sz="2800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4F4986CD-6665-42DA-AF75-E09AA01541FA}"/>
              </a:ext>
            </a:extLst>
          </xdr:cNvPr>
          <xdr:cNvSpPr/>
        </xdr:nvSpPr>
        <xdr:spPr>
          <a:xfrm>
            <a:off x="514350" y="1066800"/>
            <a:ext cx="1943100" cy="333375"/>
          </a:xfrm>
          <a:prstGeom prst="rect">
            <a:avLst/>
          </a:prstGeom>
          <a:solidFill>
            <a:srgbClr val="C00000"/>
          </a:solidFill>
          <a:ln>
            <a:noFill/>
          </a:ln>
          <a:effectLst/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solidFill>
                  <a:schemeClr val="bg1"/>
                </a:solidFill>
                <a:latin typeface="League Gothic" panose="00000500000000000000" pitchFamily="50" charset="0"/>
              </a:rPr>
              <a:t>Taxa</a:t>
            </a:r>
            <a:r>
              <a:rPr lang="pt-BR" sz="1400" baseline="0">
                <a:solidFill>
                  <a:schemeClr val="bg1"/>
                </a:solidFill>
                <a:latin typeface="League Gothic" panose="00000500000000000000" pitchFamily="50" charset="0"/>
              </a:rPr>
              <a:t> de Turnover</a:t>
            </a:r>
            <a:endParaRPr lang="pt-BR" sz="1400">
              <a:solidFill>
                <a:schemeClr val="bg1"/>
              </a:solidFill>
              <a:latin typeface="League Gothic" panose="00000500000000000000" pitchFamily="50" charset="0"/>
            </a:endParaRPr>
          </a:p>
        </xdr:txBody>
      </xdr:sp>
    </xdr:grpSp>
    <xdr:clientData/>
  </xdr:twoCellAnchor>
  <xdr:twoCellAnchor>
    <xdr:from>
      <xdr:col>0</xdr:col>
      <xdr:colOff>0</xdr:colOff>
      <xdr:row>27</xdr:row>
      <xdr:rowOff>121029</xdr:rowOff>
    </xdr:from>
    <xdr:to>
      <xdr:col>5</xdr:col>
      <xdr:colOff>846605</xdr:colOff>
      <xdr:row>43</xdr:row>
      <xdr:rowOff>79001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B6AE4DF8-3B3D-490F-B500-3DC86ADF62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665629</xdr:colOff>
      <xdr:row>28</xdr:row>
      <xdr:rowOff>31657</xdr:rowOff>
    </xdr:from>
    <xdr:to>
      <xdr:col>13</xdr:col>
      <xdr:colOff>266140</xdr:colOff>
      <xdr:row>41</xdr:row>
      <xdr:rowOff>194422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38EEBA3F-B985-4953-B4CC-81634240BE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704850</xdr:colOff>
      <xdr:row>5</xdr:row>
      <xdr:rowOff>180976</xdr:rowOff>
    </xdr:from>
    <xdr:to>
      <xdr:col>5</xdr:col>
      <xdr:colOff>438150</xdr:colOff>
      <xdr:row>12</xdr:row>
      <xdr:rowOff>9526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F6DFB2CB-50DB-47F5-AA0B-2477F4F77781}"/>
            </a:ext>
          </a:extLst>
        </xdr:cNvPr>
        <xdr:cNvGrpSpPr/>
      </xdr:nvGrpSpPr>
      <xdr:grpSpPr>
        <a:xfrm>
          <a:off x="2286000" y="1133476"/>
          <a:ext cx="1943100" cy="1190625"/>
          <a:chOff x="514350" y="1066800"/>
          <a:chExt cx="1943100" cy="1152525"/>
        </a:xfrm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Calculos!B18">
        <xdr:nvSpPr>
          <xdr:cNvPr id="23" name="Retângulo 22">
            <a:extLst>
              <a:ext uri="{FF2B5EF4-FFF2-40B4-BE49-F238E27FC236}">
                <a16:creationId xmlns:a16="http://schemas.microsoft.com/office/drawing/2014/main" id="{CEB8E18F-47A2-4BA8-B1CA-D50EB3770AEC}"/>
              </a:ext>
            </a:extLst>
          </xdr:cNvPr>
          <xdr:cNvSpPr/>
        </xdr:nvSpPr>
        <xdr:spPr>
          <a:xfrm>
            <a:off x="514350" y="1428750"/>
            <a:ext cx="1943100" cy="790575"/>
          </a:xfrm>
          <a:prstGeom prst="rect">
            <a:avLst/>
          </a:prstGeom>
          <a:solidFill>
            <a:srgbClr val="002060"/>
          </a:solidFill>
          <a:ln>
            <a:noFill/>
          </a:ln>
          <a:effectLst/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DCEEBE7-AAF5-4518-99F2-B235434802DB}" type="TxLink">
              <a:rPr lang="en-US" sz="1600" b="0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iro" panose="00000500000000000000" pitchFamily="2" charset="-78"/>
              </a:rPr>
              <a:pPr algn="ctr"/>
              <a:t>2</a:t>
            </a:fld>
            <a:endParaRPr lang="pt-BR" sz="4000">
              <a:solidFill>
                <a:schemeClr val="bg1"/>
              </a:solidFill>
              <a:latin typeface="Bahnschrift Light" panose="020B0502040204020203" pitchFamily="34" charset="0"/>
              <a:cs typeface="Cairo" panose="00000500000000000000" pitchFamily="2" charset="-78"/>
            </a:endParaRPr>
          </a:p>
        </xdr:txBody>
      </xdr:sp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F835CB4B-765B-48A1-98B8-5EA79CA785DD}"/>
              </a:ext>
            </a:extLst>
          </xdr:cNvPr>
          <xdr:cNvSpPr/>
        </xdr:nvSpPr>
        <xdr:spPr>
          <a:xfrm>
            <a:off x="514350" y="1066800"/>
            <a:ext cx="1943100" cy="333375"/>
          </a:xfrm>
          <a:prstGeom prst="rect">
            <a:avLst/>
          </a:prstGeom>
          <a:solidFill>
            <a:srgbClr val="C00000"/>
          </a:solidFill>
          <a:ln>
            <a:noFill/>
          </a:ln>
          <a:effectLst/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solidFill>
                  <a:schemeClr val="bg1"/>
                </a:solidFill>
                <a:latin typeface="League Gothic" panose="00000500000000000000" pitchFamily="50" charset="0"/>
              </a:rPr>
              <a:t>Metas</a:t>
            </a:r>
            <a:r>
              <a:rPr lang="pt-BR" sz="1400" baseline="0">
                <a:solidFill>
                  <a:schemeClr val="bg1"/>
                </a:solidFill>
                <a:latin typeface="League Gothic" panose="00000500000000000000" pitchFamily="50" charset="0"/>
              </a:rPr>
              <a:t> definidas</a:t>
            </a:r>
            <a:endParaRPr lang="pt-BR" sz="1400">
              <a:solidFill>
                <a:schemeClr val="bg1"/>
              </a:solidFill>
              <a:latin typeface="League Gothic" panose="00000500000000000000" pitchFamily="50" charset="0"/>
            </a:endParaRPr>
          </a:p>
        </xdr:txBody>
      </xdr:sp>
    </xdr:grpSp>
    <xdr:clientData/>
  </xdr:twoCellAnchor>
  <xdr:twoCellAnchor>
    <xdr:from>
      <xdr:col>8</xdr:col>
      <xdr:colOff>285750</xdr:colOff>
      <xdr:row>6</xdr:row>
      <xdr:rowOff>0</xdr:rowOff>
    </xdr:from>
    <xdr:to>
      <xdr:col>10</xdr:col>
      <xdr:colOff>219075</xdr:colOff>
      <xdr:row>12</xdr:row>
      <xdr:rowOff>9525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F6833CD8-96CA-4D51-B0C6-33EAFE69DDED}"/>
            </a:ext>
          </a:extLst>
        </xdr:cNvPr>
        <xdr:cNvGrpSpPr/>
      </xdr:nvGrpSpPr>
      <xdr:grpSpPr>
        <a:xfrm>
          <a:off x="6410325" y="1152525"/>
          <a:ext cx="1943100" cy="1171575"/>
          <a:chOff x="514350" y="1066800"/>
          <a:chExt cx="1943100" cy="1152525"/>
        </a:xfrm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Calculos!E18">
        <xdr:nvSpPr>
          <xdr:cNvPr id="44" name="Retângulo 43">
            <a:extLst>
              <a:ext uri="{FF2B5EF4-FFF2-40B4-BE49-F238E27FC236}">
                <a16:creationId xmlns:a16="http://schemas.microsoft.com/office/drawing/2014/main" id="{B9131F5E-1C4D-4670-9EB4-F750714D80F5}"/>
              </a:ext>
            </a:extLst>
          </xdr:cNvPr>
          <xdr:cNvSpPr/>
        </xdr:nvSpPr>
        <xdr:spPr>
          <a:xfrm>
            <a:off x="514350" y="1428750"/>
            <a:ext cx="1943100" cy="790575"/>
          </a:xfrm>
          <a:prstGeom prst="rect">
            <a:avLst/>
          </a:prstGeom>
          <a:solidFill>
            <a:srgbClr val="002060"/>
          </a:solidFill>
          <a:ln>
            <a:noFill/>
          </a:ln>
          <a:effectLst/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D6DA3F6-642C-4FE7-A71D-BC9C9D62A9E4}" type="TxLink">
              <a:rPr lang="en-US" sz="1600" b="0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2</a:t>
            </a:fld>
            <a:endParaRPr lang="pt-BR" sz="3600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" textlink="">
        <xdr:nvSpPr>
          <xdr:cNvPr id="45" name="Retângulo 44">
            <a:extLst>
              <a:ext uri="{FF2B5EF4-FFF2-40B4-BE49-F238E27FC236}">
                <a16:creationId xmlns:a16="http://schemas.microsoft.com/office/drawing/2014/main" id="{3E3761E8-7380-4EDA-92D5-1C78A8751F08}"/>
              </a:ext>
            </a:extLst>
          </xdr:cNvPr>
          <xdr:cNvSpPr/>
        </xdr:nvSpPr>
        <xdr:spPr>
          <a:xfrm>
            <a:off x="514350" y="1066800"/>
            <a:ext cx="1943100" cy="333375"/>
          </a:xfrm>
          <a:prstGeom prst="rect">
            <a:avLst/>
          </a:prstGeom>
          <a:solidFill>
            <a:srgbClr val="C00000"/>
          </a:solidFill>
          <a:ln>
            <a:noFill/>
          </a:ln>
          <a:effectLst/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solidFill>
                  <a:schemeClr val="bg1"/>
                </a:solidFill>
                <a:latin typeface="League Gothic" panose="00000500000000000000" pitchFamily="50" charset="0"/>
              </a:rPr>
              <a:t>Abaixo</a:t>
            </a:r>
            <a:r>
              <a:rPr lang="pt-BR" sz="1400" baseline="0">
                <a:solidFill>
                  <a:schemeClr val="bg1"/>
                </a:solidFill>
                <a:latin typeface="League Gothic" panose="00000500000000000000" pitchFamily="50" charset="0"/>
              </a:rPr>
              <a:t> da Meta</a:t>
            </a:r>
            <a:endParaRPr lang="pt-BR" sz="1400">
              <a:solidFill>
                <a:schemeClr val="bg1"/>
              </a:solidFill>
              <a:latin typeface="League Gothic" panose="00000500000000000000" pitchFamily="50" charset="0"/>
            </a:endParaRPr>
          </a:p>
        </xdr:txBody>
      </xdr:sp>
    </xdr:grpSp>
    <xdr:clientData/>
  </xdr:twoCellAnchor>
  <xdr:twoCellAnchor>
    <xdr:from>
      <xdr:col>1</xdr:col>
      <xdr:colOff>323850</xdr:colOff>
      <xdr:row>0</xdr:row>
      <xdr:rowOff>164041</xdr:rowOff>
    </xdr:from>
    <xdr:to>
      <xdr:col>3</xdr:col>
      <xdr:colOff>1200150</xdr:colOff>
      <xdr:row>2</xdr:row>
      <xdr:rowOff>144991</xdr:rowOff>
    </xdr:to>
    <xdr:sp macro="" textlink="">
      <xdr:nvSpPr>
        <xdr:cNvPr id="53" name="Retângulo 5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9A62EB2-58B2-4097-9DD6-4D1331751247}"/>
            </a:ext>
          </a:extLst>
        </xdr:cNvPr>
        <xdr:cNvSpPr/>
      </xdr:nvSpPr>
      <xdr:spPr>
        <a:xfrm>
          <a:off x="1152525" y="164041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Cadastro</a:t>
          </a:r>
        </a:p>
      </xdr:txBody>
    </xdr:sp>
    <xdr:clientData/>
  </xdr:twoCellAnchor>
  <xdr:twoCellAnchor>
    <xdr:from>
      <xdr:col>8</xdr:col>
      <xdr:colOff>143935</xdr:colOff>
      <xdr:row>0</xdr:row>
      <xdr:rowOff>174624</xdr:rowOff>
    </xdr:from>
    <xdr:to>
      <xdr:col>9</xdr:col>
      <xdr:colOff>576793</xdr:colOff>
      <xdr:row>2</xdr:row>
      <xdr:rowOff>155574</xdr:rowOff>
    </xdr:to>
    <xdr:sp macro="" textlink="">
      <xdr:nvSpPr>
        <xdr:cNvPr id="54" name="Retângulo 5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60419E-9653-441D-AA23-C4534D4975C1}"/>
            </a:ext>
          </a:extLst>
        </xdr:cNvPr>
        <xdr:cNvSpPr/>
      </xdr:nvSpPr>
      <xdr:spPr>
        <a:xfrm>
          <a:off x="6268510" y="174624"/>
          <a:ext cx="1633008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5W2H</a:t>
          </a:r>
        </a:p>
      </xdr:txBody>
    </xdr:sp>
    <xdr:clientData/>
  </xdr:twoCellAnchor>
  <xdr:twoCellAnchor>
    <xdr:from>
      <xdr:col>11</xdr:col>
      <xdr:colOff>738718</xdr:colOff>
      <xdr:row>0</xdr:row>
      <xdr:rowOff>174624</xdr:rowOff>
    </xdr:from>
    <xdr:to>
      <xdr:col>13</xdr:col>
      <xdr:colOff>581025</xdr:colOff>
      <xdr:row>2</xdr:row>
      <xdr:rowOff>155574</xdr:rowOff>
    </xdr:to>
    <xdr:sp macro="" textlink="">
      <xdr:nvSpPr>
        <xdr:cNvPr id="55" name="Retângulo 5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37C6BB7-50F0-4C85-8A9D-F6EE081F23D6}"/>
            </a:ext>
          </a:extLst>
        </xdr:cNvPr>
        <xdr:cNvSpPr/>
      </xdr:nvSpPr>
      <xdr:spPr>
        <a:xfrm>
          <a:off x="9682693" y="174624"/>
          <a:ext cx="1680632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Relatórios</a:t>
          </a:r>
        </a:p>
      </xdr:txBody>
    </xdr:sp>
    <xdr:clientData/>
  </xdr:twoCellAnchor>
  <xdr:twoCellAnchor>
    <xdr:from>
      <xdr:col>14</xdr:col>
      <xdr:colOff>62442</xdr:colOff>
      <xdr:row>0</xdr:row>
      <xdr:rowOff>174624</xdr:rowOff>
    </xdr:from>
    <xdr:to>
      <xdr:col>16</xdr:col>
      <xdr:colOff>380999</xdr:colOff>
      <xdr:row>2</xdr:row>
      <xdr:rowOff>155574</xdr:rowOff>
    </xdr:to>
    <xdr:sp macro="" textlink="">
      <xdr:nvSpPr>
        <xdr:cNvPr id="56" name="Retângulo 5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8360924-3E99-42FB-869F-7E85EA3198E4}"/>
            </a:ext>
          </a:extLst>
        </xdr:cNvPr>
        <xdr:cNvSpPr/>
      </xdr:nvSpPr>
      <xdr:spPr>
        <a:xfrm>
          <a:off x="11454342" y="174624"/>
          <a:ext cx="1747307" cy="36195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Dashboard</a:t>
          </a:r>
        </a:p>
      </xdr:txBody>
    </xdr:sp>
    <xdr:clientData/>
  </xdr:twoCellAnchor>
  <xdr:twoCellAnchor>
    <xdr:from>
      <xdr:col>3</xdr:col>
      <xdr:colOff>1266825</xdr:colOff>
      <xdr:row>0</xdr:row>
      <xdr:rowOff>164041</xdr:rowOff>
    </xdr:from>
    <xdr:to>
      <xdr:col>5</xdr:col>
      <xdr:colOff>685800</xdr:colOff>
      <xdr:row>2</xdr:row>
      <xdr:rowOff>144991</xdr:rowOff>
    </xdr:to>
    <xdr:sp macro="" textlink="">
      <xdr:nvSpPr>
        <xdr:cNvPr id="57" name="Retângulo 5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1A264CB-CD74-4653-9FAE-A53FD5A6AB8F}"/>
            </a:ext>
          </a:extLst>
        </xdr:cNvPr>
        <xdr:cNvSpPr/>
      </xdr:nvSpPr>
      <xdr:spPr>
        <a:xfrm>
          <a:off x="2847975" y="164041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Análise de SWOT</a:t>
          </a:r>
        </a:p>
      </xdr:txBody>
    </xdr:sp>
    <xdr:clientData/>
  </xdr:twoCellAnchor>
  <xdr:twoCellAnchor>
    <xdr:from>
      <xdr:col>9</xdr:col>
      <xdr:colOff>648760</xdr:colOff>
      <xdr:row>0</xdr:row>
      <xdr:rowOff>174624</xdr:rowOff>
    </xdr:from>
    <xdr:to>
      <xdr:col>11</xdr:col>
      <xdr:colOff>662518</xdr:colOff>
      <xdr:row>2</xdr:row>
      <xdr:rowOff>155574</xdr:rowOff>
    </xdr:to>
    <xdr:sp macro="" textlink="">
      <xdr:nvSpPr>
        <xdr:cNvPr id="58" name="Retângulo 5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2C2801F-B109-4AB4-9F60-C174280B7CA1}"/>
            </a:ext>
          </a:extLst>
        </xdr:cNvPr>
        <xdr:cNvSpPr/>
      </xdr:nvSpPr>
      <xdr:spPr>
        <a:xfrm>
          <a:off x="7973485" y="174624"/>
          <a:ext cx="1633008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Indicadores</a:t>
          </a:r>
        </a:p>
      </xdr:txBody>
    </xdr:sp>
    <xdr:clientData/>
  </xdr:twoCellAnchor>
  <xdr:twoCellAnchor>
    <xdr:from>
      <xdr:col>5</xdr:col>
      <xdr:colOff>772583</xdr:colOff>
      <xdr:row>0</xdr:row>
      <xdr:rowOff>161925</xdr:rowOff>
    </xdr:from>
    <xdr:to>
      <xdr:col>8</xdr:col>
      <xdr:colOff>67733</xdr:colOff>
      <xdr:row>2</xdr:row>
      <xdr:rowOff>142875</xdr:rowOff>
    </xdr:to>
    <xdr:sp macro="" textlink="">
      <xdr:nvSpPr>
        <xdr:cNvPr id="59" name="Retângulo 5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62F8AA9-8126-4D9E-8D33-6E147DDF88BE}"/>
            </a:ext>
          </a:extLst>
        </xdr:cNvPr>
        <xdr:cNvSpPr/>
      </xdr:nvSpPr>
      <xdr:spPr>
        <a:xfrm>
          <a:off x="4563533" y="161925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Objetivos Est.</a:t>
          </a:r>
          <a:r>
            <a:rPr lang="pt-BR" sz="12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e Metas</a:t>
          </a:r>
          <a:endParaRPr lang="pt-BR" sz="12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  <xdr:twoCellAnchor>
    <xdr:from>
      <xdr:col>0</xdr:col>
      <xdr:colOff>19050</xdr:colOff>
      <xdr:row>12</xdr:row>
      <xdr:rowOff>128587</xdr:rowOff>
    </xdr:from>
    <xdr:to>
      <xdr:col>5</xdr:col>
      <xdr:colOff>800100</xdr:colOff>
      <xdr:row>26</xdr:row>
      <xdr:rowOff>80962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F141955-1FBD-4EF6-BB46-5F7CB6757D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509866</xdr:colOff>
      <xdr:row>12</xdr:row>
      <xdr:rowOff>28855</xdr:rowOff>
    </xdr:from>
    <xdr:to>
      <xdr:col>13</xdr:col>
      <xdr:colOff>238123</xdr:colOff>
      <xdr:row>27</xdr:row>
      <xdr:rowOff>14008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8E8F8B1-0F89-429E-80C1-4266725ADF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28576</xdr:rowOff>
    </xdr:from>
    <xdr:to>
      <xdr:col>2</xdr:col>
      <xdr:colOff>142875</xdr:colOff>
      <xdr:row>5</xdr:row>
      <xdr:rowOff>31624</xdr:rowOff>
    </xdr:to>
    <xdr:pic>
      <xdr:nvPicPr>
        <xdr:cNvPr id="8" name="Imagem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75F74B-3B9C-40EF-89C0-2BA8D08F4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8576"/>
          <a:ext cx="885825" cy="955548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</xdr:row>
      <xdr:rowOff>161925</xdr:rowOff>
    </xdr:from>
    <xdr:to>
      <xdr:col>7</xdr:col>
      <xdr:colOff>57150</xdr:colOff>
      <xdr:row>5</xdr:row>
      <xdr:rowOff>1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B32A4DE-DFAB-4E12-AFE3-BCC2A730EF5C}"/>
            </a:ext>
          </a:extLst>
        </xdr:cNvPr>
        <xdr:cNvSpPr/>
      </xdr:nvSpPr>
      <xdr:spPr>
        <a:xfrm>
          <a:off x="1447800" y="733425"/>
          <a:ext cx="2495550" cy="219076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</a:t>
          </a:r>
          <a:r>
            <a:rPr lang="pt-BR" sz="11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Avaliativo de Atividades (IAA)</a:t>
          </a:r>
          <a:endParaRPr lang="pt-BR" sz="11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  <xdr:twoCellAnchor>
    <xdr:from>
      <xdr:col>7</xdr:col>
      <xdr:colOff>190500</xdr:colOff>
      <xdr:row>3</xdr:row>
      <xdr:rowOff>161925</xdr:rowOff>
    </xdr:from>
    <xdr:to>
      <xdr:col>9</xdr:col>
      <xdr:colOff>447675</xdr:colOff>
      <xdr:row>5</xdr:row>
      <xdr:rowOff>0</xdr:rowOff>
    </xdr:to>
    <xdr:sp macro="" textlink="">
      <xdr:nvSpPr>
        <xdr:cNvPr id="20" name="Retângulo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05DB2F8-8393-4FDC-8525-CBD09AA68A6B}"/>
            </a:ext>
          </a:extLst>
        </xdr:cNvPr>
        <xdr:cNvSpPr/>
      </xdr:nvSpPr>
      <xdr:spPr>
        <a:xfrm>
          <a:off x="4076700" y="733425"/>
          <a:ext cx="14763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Turnover</a:t>
          </a:r>
        </a:p>
      </xdr:txBody>
    </xdr:sp>
    <xdr:clientData/>
  </xdr:twoCellAnchor>
  <xdr:twoCellAnchor>
    <xdr:from>
      <xdr:col>2</xdr:col>
      <xdr:colOff>209550</xdr:colOff>
      <xdr:row>0</xdr:row>
      <xdr:rowOff>116416</xdr:rowOff>
    </xdr:from>
    <xdr:to>
      <xdr:col>5</xdr:col>
      <xdr:colOff>9525</xdr:colOff>
      <xdr:row>2</xdr:row>
      <xdr:rowOff>97366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F59C3D8-27B5-4449-9791-CC99D0E2816B}"/>
            </a:ext>
          </a:extLst>
        </xdr:cNvPr>
        <xdr:cNvSpPr/>
      </xdr:nvSpPr>
      <xdr:spPr>
        <a:xfrm>
          <a:off x="1047750" y="116416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Cadastro</a:t>
          </a:r>
        </a:p>
      </xdr:txBody>
    </xdr:sp>
    <xdr:clientData/>
  </xdr:twoCellAnchor>
  <xdr:twoCellAnchor>
    <xdr:from>
      <xdr:col>10</xdr:col>
      <xdr:colOff>448735</xdr:colOff>
      <xdr:row>0</xdr:row>
      <xdr:rowOff>126999</xdr:rowOff>
    </xdr:from>
    <xdr:to>
      <xdr:col>13</xdr:col>
      <xdr:colOff>252943</xdr:colOff>
      <xdr:row>2</xdr:row>
      <xdr:rowOff>107949</xdr:rowOff>
    </xdr:to>
    <xdr:sp macro="" textlink="">
      <xdr:nvSpPr>
        <xdr:cNvPr id="19" name="Retângul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254016C-29D6-4A54-BFEC-3DA8D7DCB82F}"/>
            </a:ext>
          </a:extLst>
        </xdr:cNvPr>
        <xdr:cNvSpPr/>
      </xdr:nvSpPr>
      <xdr:spPr>
        <a:xfrm>
          <a:off x="6163735" y="126999"/>
          <a:ext cx="1633008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5W2H</a:t>
          </a:r>
        </a:p>
      </xdr:txBody>
    </xdr:sp>
    <xdr:clientData/>
  </xdr:twoCellAnchor>
  <xdr:twoCellAnchor>
    <xdr:from>
      <xdr:col>16</xdr:col>
      <xdr:colOff>205318</xdr:colOff>
      <xdr:row>0</xdr:row>
      <xdr:rowOff>126999</xdr:rowOff>
    </xdr:from>
    <xdr:to>
      <xdr:col>19</xdr:col>
      <xdr:colOff>5293</xdr:colOff>
      <xdr:row>2</xdr:row>
      <xdr:rowOff>107949</xdr:rowOff>
    </xdr:to>
    <xdr:sp macro="" textlink="">
      <xdr:nvSpPr>
        <xdr:cNvPr id="21" name="Retângulo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D3CE882-E891-4C26-8C70-4BDE184CF2F7}"/>
            </a:ext>
          </a:extLst>
        </xdr:cNvPr>
        <xdr:cNvSpPr/>
      </xdr:nvSpPr>
      <xdr:spPr>
        <a:xfrm>
          <a:off x="9577918" y="126999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Relatórios</a:t>
          </a:r>
        </a:p>
      </xdr:txBody>
    </xdr:sp>
    <xdr:clientData/>
  </xdr:twoCellAnchor>
  <xdr:twoCellAnchor>
    <xdr:from>
      <xdr:col>19</xdr:col>
      <xdr:colOff>91018</xdr:colOff>
      <xdr:row>0</xdr:row>
      <xdr:rowOff>136524</xdr:rowOff>
    </xdr:from>
    <xdr:to>
      <xdr:col>21</xdr:col>
      <xdr:colOff>500593</xdr:colOff>
      <xdr:row>2</xdr:row>
      <xdr:rowOff>117474</xdr:rowOff>
    </xdr:to>
    <xdr:sp macro="" textlink="">
      <xdr:nvSpPr>
        <xdr:cNvPr id="22" name="Retângulo 2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117BC37-3C28-4018-B273-B0E88386DCBA}"/>
            </a:ext>
          </a:extLst>
        </xdr:cNvPr>
        <xdr:cNvSpPr/>
      </xdr:nvSpPr>
      <xdr:spPr>
        <a:xfrm>
          <a:off x="11292418" y="136524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Dashboard</a:t>
          </a:r>
        </a:p>
      </xdr:txBody>
    </xdr:sp>
    <xdr:clientData/>
  </xdr:twoCellAnchor>
  <xdr:twoCellAnchor>
    <xdr:from>
      <xdr:col>5</xdr:col>
      <xdr:colOff>76200</xdr:colOff>
      <xdr:row>0</xdr:row>
      <xdr:rowOff>116416</xdr:rowOff>
    </xdr:from>
    <xdr:to>
      <xdr:col>7</xdr:col>
      <xdr:colOff>485775</xdr:colOff>
      <xdr:row>2</xdr:row>
      <xdr:rowOff>97366</xdr:rowOff>
    </xdr:to>
    <xdr:sp macro="" textlink="">
      <xdr:nvSpPr>
        <xdr:cNvPr id="23" name="Retângulo 2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396F89F-AB69-419F-AEF6-CAB7B40B4DC2}"/>
            </a:ext>
          </a:extLst>
        </xdr:cNvPr>
        <xdr:cNvSpPr/>
      </xdr:nvSpPr>
      <xdr:spPr>
        <a:xfrm>
          <a:off x="2743200" y="116416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Análise de SWOT</a:t>
          </a:r>
        </a:p>
      </xdr:txBody>
    </xdr:sp>
    <xdr:clientData/>
  </xdr:twoCellAnchor>
  <xdr:twoCellAnchor>
    <xdr:from>
      <xdr:col>13</xdr:col>
      <xdr:colOff>324910</xdr:colOff>
      <xdr:row>0</xdr:row>
      <xdr:rowOff>126999</xdr:rowOff>
    </xdr:from>
    <xdr:to>
      <xdr:col>16</xdr:col>
      <xdr:colOff>129118</xdr:colOff>
      <xdr:row>2</xdr:row>
      <xdr:rowOff>107949</xdr:rowOff>
    </xdr:to>
    <xdr:sp macro="" textlink="">
      <xdr:nvSpPr>
        <xdr:cNvPr id="24" name="Retângulo 2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DDC30C6-D783-4FA0-9AAF-B9EB8D20381C}"/>
            </a:ext>
          </a:extLst>
        </xdr:cNvPr>
        <xdr:cNvSpPr/>
      </xdr:nvSpPr>
      <xdr:spPr>
        <a:xfrm>
          <a:off x="7868710" y="126999"/>
          <a:ext cx="1633008" cy="36195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Indicadores</a:t>
          </a:r>
        </a:p>
      </xdr:txBody>
    </xdr:sp>
    <xdr:clientData/>
  </xdr:twoCellAnchor>
  <xdr:twoCellAnchor>
    <xdr:from>
      <xdr:col>7</xdr:col>
      <xdr:colOff>572558</xdr:colOff>
      <xdr:row>0</xdr:row>
      <xdr:rowOff>114300</xdr:rowOff>
    </xdr:from>
    <xdr:to>
      <xdr:col>10</xdr:col>
      <xdr:colOff>372533</xdr:colOff>
      <xdr:row>2</xdr:row>
      <xdr:rowOff>95250</xdr:rowOff>
    </xdr:to>
    <xdr:sp macro="" textlink="">
      <xdr:nvSpPr>
        <xdr:cNvPr id="25" name="Retângulo 2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8A8BE72-B39C-4DEA-86D7-1A71C7F92268}"/>
            </a:ext>
          </a:extLst>
        </xdr:cNvPr>
        <xdr:cNvSpPr/>
      </xdr:nvSpPr>
      <xdr:spPr>
        <a:xfrm>
          <a:off x="4458758" y="114300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Objetivos Est.</a:t>
          </a:r>
          <a:r>
            <a:rPr lang="pt-BR" sz="12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e Metas</a:t>
          </a:r>
          <a:endParaRPr lang="pt-BR" sz="12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7</xdr:row>
      <xdr:rowOff>38100</xdr:rowOff>
    </xdr:from>
    <xdr:to>
      <xdr:col>2</xdr:col>
      <xdr:colOff>2171700</xdr:colOff>
      <xdr:row>8</xdr:row>
      <xdr:rowOff>161925</xdr:rowOff>
    </xdr:to>
    <xdr:sp macro="" textlink="">
      <xdr:nvSpPr>
        <xdr:cNvPr id="12" name="Retângul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22EAF0-8A3F-45A2-BEBF-3EC7AE460235}"/>
            </a:ext>
          </a:extLst>
        </xdr:cNvPr>
        <xdr:cNvSpPr/>
      </xdr:nvSpPr>
      <xdr:spPr>
        <a:xfrm>
          <a:off x="638175" y="1371600"/>
          <a:ext cx="2143125" cy="3143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aseline="0">
              <a:solidFill>
                <a:schemeClr val="bg1"/>
              </a:solidFill>
              <a:latin typeface="League Gothic" panose="00000500000000000000" pitchFamily="50" charset="0"/>
            </a:rPr>
            <a:t>Clique aqui para saber mais!</a:t>
          </a:r>
          <a:endParaRPr lang="pt-BR" sz="1600">
            <a:solidFill>
              <a:schemeClr val="bg1"/>
            </a:solidFill>
            <a:latin typeface="League Gothic" panose="00000500000000000000" pitchFamily="50" charset="0"/>
          </a:endParaRPr>
        </a:p>
      </xdr:txBody>
    </xdr:sp>
    <xdr:clientData/>
  </xdr:twoCellAnchor>
  <xdr:twoCellAnchor editAs="oneCell">
    <xdr:from>
      <xdr:col>0</xdr:col>
      <xdr:colOff>85725</xdr:colOff>
      <xdr:row>0</xdr:row>
      <xdr:rowOff>28575</xdr:rowOff>
    </xdr:from>
    <xdr:to>
      <xdr:col>2</xdr:col>
      <xdr:colOff>257175</xdr:colOff>
      <xdr:row>5</xdr:row>
      <xdr:rowOff>31623</xdr:rowOff>
    </xdr:to>
    <xdr:pic>
      <xdr:nvPicPr>
        <xdr:cNvPr id="14" name="Imagem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9BB0C88-1522-44D3-ADF3-DAC2F4AFB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28575"/>
          <a:ext cx="885825" cy="955548"/>
        </a:xfrm>
        <a:prstGeom prst="rect">
          <a:avLst/>
        </a:prstGeom>
      </xdr:spPr>
    </xdr:pic>
    <xdr:clientData/>
  </xdr:twoCellAnchor>
  <xdr:twoCellAnchor>
    <xdr:from>
      <xdr:col>2</xdr:col>
      <xdr:colOff>723900</xdr:colOff>
      <xdr:row>3</xdr:row>
      <xdr:rowOff>161924</xdr:rowOff>
    </xdr:from>
    <xdr:to>
      <xdr:col>3</xdr:col>
      <xdr:colOff>828675</xdr:colOff>
      <xdr:row>5</xdr:row>
      <xdr:rowOff>0</xdr:rowOff>
    </xdr:to>
    <xdr:sp macro="" textlink="">
      <xdr:nvSpPr>
        <xdr:cNvPr id="21" name="Retângulo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20A35BA-C2EB-4C43-8711-EA2788498743}"/>
            </a:ext>
          </a:extLst>
        </xdr:cNvPr>
        <xdr:cNvSpPr/>
      </xdr:nvSpPr>
      <xdr:spPr>
        <a:xfrm>
          <a:off x="1438275" y="733424"/>
          <a:ext cx="2495550" cy="219076"/>
        </a:xfrm>
        <a:prstGeom prst="rect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C00000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</a:t>
          </a:r>
          <a:r>
            <a:rPr lang="pt-BR" sz="1100" b="1" baseline="0">
              <a:solidFill>
                <a:srgbClr val="C00000"/>
              </a:solidFill>
              <a:latin typeface="Cairo" panose="00000500000000000000" pitchFamily="2" charset="-78"/>
              <a:cs typeface="Cairo" panose="00000500000000000000" pitchFamily="2" charset="-78"/>
            </a:rPr>
            <a:t> Avaliativo de Atividades (IAA)</a:t>
          </a:r>
          <a:endParaRPr lang="pt-BR" sz="1100" b="1">
            <a:solidFill>
              <a:srgbClr val="C00000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  <xdr:twoCellAnchor>
    <xdr:from>
      <xdr:col>3</xdr:col>
      <xdr:colOff>962025</xdr:colOff>
      <xdr:row>3</xdr:row>
      <xdr:rowOff>161924</xdr:rowOff>
    </xdr:from>
    <xdr:to>
      <xdr:col>4</xdr:col>
      <xdr:colOff>1152525</xdr:colOff>
      <xdr:row>4</xdr:row>
      <xdr:rowOff>190499</xdr:rowOff>
    </xdr:to>
    <xdr:sp macro="" textlink="">
      <xdr:nvSpPr>
        <xdr:cNvPr id="22" name="Retângulo 2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A144A51-E798-45B6-A92E-B53DAC14C816}"/>
            </a:ext>
          </a:extLst>
        </xdr:cNvPr>
        <xdr:cNvSpPr/>
      </xdr:nvSpPr>
      <xdr:spPr>
        <a:xfrm>
          <a:off x="4067175" y="733424"/>
          <a:ext cx="1476375" cy="219075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Cairo" panose="00000500000000000000" pitchFamily="2" charset="-78"/>
              <a:cs typeface="Cairo" panose="00000500000000000000" pitchFamily="2" charset="-78"/>
            </a:rPr>
            <a:t>Turnover</a:t>
          </a:r>
        </a:p>
      </xdr:txBody>
    </xdr:sp>
    <xdr:clientData/>
  </xdr:twoCellAnchor>
  <xdr:twoCellAnchor>
    <xdr:from>
      <xdr:col>2</xdr:col>
      <xdr:colOff>371475</xdr:colOff>
      <xdr:row>0</xdr:row>
      <xdr:rowOff>144991</xdr:rowOff>
    </xdr:from>
    <xdr:to>
      <xdr:col>2</xdr:col>
      <xdr:colOff>2000250</xdr:colOff>
      <xdr:row>2</xdr:row>
      <xdr:rowOff>125941</xdr:rowOff>
    </xdr:to>
    <xdr:sp macro="" textlink="">
      <xdr:nvSpPr>
        <xdr:cNvPr id="13" name="Retângulo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030CE5F-62AC-48D2-A9B2-AE48EFD58FEF}"/>
            </a:ext>
          </a:extLst>
        </xdr:cNvPr>
        <xdr:cNvSpPr/>
      </xdr:nvSpPr>
      <xdr:spPr>
        <a:xfrm>
          <a:off x="1085850" y="144991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Cadastro</a:t>
          </a:r>
        </a:p>
      </xdr:txBody>
    </xdr:sp>
    <xdr:clientData/>
  </xdr:twoCellAnchor>
  <xdr:twoCellAnchor>
    <xdr:from>
      <xdr:col>4</xdr:col>
      <xdr:colOff>1810810</xdr:colOff>
      <xdr:row>0</xdr:row>
      <xdr:rowOff>155574</xdr:rowOff>
    </xdr:from>
    <xdr:to>
      <xdr:col>5</xdr:col>
      <xdr:colOff>1195918</xdr:colOff>
      <xdr:row>2</xdr:row>
      <xdr:rowOff>136524</xdr:rowOff>
    </xdr:to>
    <xdr:sp macro="" textlink="">
      <xdr:nvSpPr>
        <xdr:cNvPr id="23" name="Retângul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B661A67-A0D7-4385-AC59-DB2CB4E14838}"/>
            </a:ext>
          </a:extLst>
        </xdr:cNvPr>
        <xdr:cNvSpPr/>
      </xdr:nvSpPr>
      <xdr:spPr>
        <a:xfrm>
          <a:off x="6201835" y="155574"/>
          <a:ext cx="1633008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5W2H</a:t>
          </a:r>
        </a:p>
      </xdr:txBody>
    </xdr:sp>
    <xdr:clientData/>
  </xdr:twoCellAnchor>
  <xdr:twoCellAnchor>
    <xdr:from>
      <xdr:col>6</xdr:col>
      <xdr:colOff>1729318</xdr:colOff>
      <xdr:row>0</xdr:row>
      <xdr:rowOff>155574</xdr:rowOff>
    </xdr:from>
    <xdr:to>
      <xdr:col>7</xdr:col>
      <xdr:colOff>1338793</xdr:colOff>
      <xdr:row>2</xdr:row>
      <xdr:rowOff>136524</xdr:rowOff>
    </xdr:to>
    <xdr:sp macro="" textlink="">
      <xdr:nvSpPr>
        <xdr:cNvPr id="24" name="Retângulo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D155568-5356-4E60-9798-FA44D02A6D00}"/>
            </a:ext>
          </a:extLst>
        </xdr:cNvPr>
        <xdr:cNvSpPr/>
      </xdr:nvSpPr>
      <xdr:spPr>
        <a:xfrm>
          <a:off x="9616018" y="155574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Relatórios</a:t>
          </a:r>
        </a:p>
      </xdr:txBody>
    </xdr:sp>
    <xdr:clientData/>
  </xdr:twoCellAnchor>
  <xdr:twoCellAnchor>
    <xdr:from>
      <xdr:col>7</xdr:col>
      <xdr:colOff>1424518</xdr:colOff>
      <xdr:row>0</xdr:row>
      <xdr:rowOff>165099</xdr:rowOff>
    </xdr:from>
    <xdr:to>
      <xdr:col>8</xdr:col>
      <xdr:colOff>1129243</xdr:colOff>
      <xdr:row>2</xdr:row>
      <xdr:rowOff>146049</xdr:rowOff>
    </xdr:to>
    <xdr:sp macro="" textlink="">
      <xdr:nvSpPr>
        <xdr:cNvPr id="25" name="Retângulo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C8A1E71-F30B-46CB-94A1-11BA828FC92F}"/>
            </a:ext>
          </a:extLst>
        </xdr:cNvPr>
        <xdr:cNvSpPr/>
      </xdr:nvSpPr>
      <xdr:spPr>
        <a:xfrm>
          <a:off x="11330518" y="165099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Dashboard</a:t>
          </a:r>
        </a:p>
      </xdr:txBody>
    </xdr:sp>
    <xdr:clientData/>
  </xdr:twoCellAnchor>
  <xdr:twoCellAnchor>
    <xdr:from>
      <xdr:col>2</xdr:col>
      <xdr:colOff>2066925</xdr:colOff>
      <xdr:row>0</xdr:row>
      <xdr:rowOff>144991</xdr:rowOff>
    </xdr:from>
    <xdr:to>
      <xdr:col>4</xdr:col>
      <xdr:colOff>19050</xdr:colOff>
      <xdr:row>2</xdr:row>
      <xdr:rowOff>125941</xdr:rowOff>
    </xdr:to>
    <xdr:sp macro="" textlink="">
      <xdr:nvSpPr>
        <xdr:cNvPr id="26" name="Retângulo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C8316C-9F81-4B18-9886-55ED6FBD8228}"/>
            </a:ext>
          </a:extLst>
        </xdr:cNvPr>
        <xdr:cNvSpPr/>
      </xdr:nvSpPr>
      <xdr:spPr>
        <a:xfrm>
          <a:off x="2781300" y="144991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Análise de SWOT</a:t>
          </a:r>
        </a:p>
      </xdr:txBody>
    </xdr:sp>
    <xdr:clientData/>
  </xdr:twoCellAnchor>
  <xdr:twoCellAnchor>
    <xdr:from>
      <xdr:col>6</xdr:col>
      <xdr:colOff>20110</xdr:colOff>
      <xdr:row>0</xdr:row>
      <xdr:rowOff>155574</xdr:rowOff>
    </xdr:from>
    <xdr:to>
      <xdr:col>6</xdr:col>
      <xdr:colOff>1653118</xdr:colOff>
      <xdr:row>2</xdr:row>
      <xdr:rowOff>136524</xdr:rowOff>
    </xdr:to>
    <xdr:sp macro="" textlink="">
      <xdr:nvSpPr>
        <xdr:cNvPr id="27" name="Retângulo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75D1D40-CE5E-48B7-933A-DE07982CBF05}"/>
            </a:ext>
          </a:extLst>
        </xdr:cNvPr>
        <xdr:cNvSpPr/>
      </xdr:nvSpPr>
      <xdr:spPr>
        <a:xfrm>
          <a:off x="7906810" y="155574"/>
          <a:ext cx="1633008" cy="36195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Indicadores</a:t>
          </a:r>
        </a:p>
      </xdr:txBody>
    </xdr:sp>
    <xdr:clientData/>
  </xdr:twoCellAnchor>
  <xdr:twoCellAnchor>
    <xdr:from>
      <xdr:col>4</xdr:col>
      <xdr:colOff>105833</xdr:colOff>
      <xdr:row>0</xdr:row>
      <xdr:rowOff>142875</xdr:rowOff>
    </xdr:from>
    <xdr:to>
      <xdr:col>4</xdr:col>
      <xdr:colOff>1734608</xdr:colOff>
      <xdr:row>2</xdr:row>
      <xdr:rowOff>123825</xdr:rowOff>
    </xdr:to>
    <xdr:sp macro="" textlink="">
      <xdr:nvSpPr>
        <xdr:cNvPr id="28" name="Retângulo 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FF5F530F-BC1A-4EF0-B07A-5D64F4910298}"/>
            </a:ext>
          </a:extLst>
        </xdr:cNvPr>
        <xdr:cNvSpPr/>
      </xdr:nvSpPr>
      <xdr:spPr>
        <a:xfrm>
          <a:off x="4496858" y="142875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Objetivos Est.</a:t>
          </a:r>
          <a:r>
            <a:rPr lang="pt-BR" sz="12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e Metas</a:t>
          </a:r>
          <a:endParaRPr lang="pt-BR" sz="12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0</xdr:rowOff>
    </xdr:from>
    <xdr:to>
      <xdr:col>14</xdr:col>
      <xdr:colOff>314325</xdr:colOff>
      <xdr:row>4</xdr:row>
      <xdr:rowOff>123825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46AD5FD-0383-4500-8931-C00D0D997E41}"/>
            </a:ext>
          </a:extLst>
        </xdr:cNvPr>
        <xdr:cNvSpPr/>
      </xdr:nvSpPr>
      <xdr:spPr>
        <a:xfrm>
          <a:off x="7686675" y="1533525"/>
          <a:ext cx="2143125" cy="3143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aseline="0">
              <a:solidFill>
                <a:schemeClr val="bg1"/>
              </a:solidFill>
              <a:latin typeface="League Gothic" panose="00000500000000000000" pitchFamily="50" charset="0"/>
            </a:rPr>
            <a:t>Retornar a planilha de IAA</a:t>
          </a:r>
          <a:endParaRPr lang="pt-BR" sz="1600">
            <a:solidFill>
              <a:schemeClr val="bg1"/>
            </a:solidFill>
            <a:latin typeface="League Gothic" panose="00000500000000000000" pitchFamily="50" charset="0"/>
          </a:endParaRPr>
        </a:p>
      </xdr:txBody>
    </xdr:sp>
    <xdr:clientData/>
  </xdr:twoCellAnchor>
  <xdr:twoCellAnchor>
    <xdr:from>
      <xdr:col>0</xdr:col>
      <xdr:colOff>600076</xdr:colOff>
      <xdr:row>0</xdr:row>
      <xdr:rowOff>180974</xdr:rowOff>
    </xdr:from>
    <xdr:to>
      <xdr:col>10</xdr:col>
      <xdr:colOff>0</xdr:colOff>
      <xdr:row>2</xdr:row>
      <xdr:rowOff>114299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8137BCA7-8C6B-4362-9CF7-F6AB8A2CB296}"/>
            </a:ext>
          </a:extLst>
        </xdr:cNvPr>
        <xdr:cNvSpPr/>
      </xdr:nvSpPr>
      <xdr:spPr>
        <a:xfrm>
          <a:off x="600076" y="180974"/>
          <a:ext cx="5867399" cy="3143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aseline="0">
              <a:solidFill>
                <a:schemeClr val="bg1"/>
              </a:solidFill>
              <a:latin typeface="League Gothic" panose="00000500000000000000" pitchFamily="50" charset="0"/>
            </a:rPr>
            <a:t>Indicador Avaliativo de Atividade (IAA)</a:t>
          </a:r>
          <a:endParaRPr lang="pt-BR" sz="1600">
            <a:solidFill>
              <a:schemeClr val="bg1"/>
            </a:solidFill>
            <a:latin typeface="League Gothic" panose="00000500000000000000" pitchFamily="50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19050</xdr:rowOff>
    </xdr:from>
    <xdr:to>
      <xdr:col>1</xdr:col>
      <xdr:colOff>333375</xdr:colOff>
      <xdr:row>5</xdr:row>
      <xdr:rowOff>22098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44A26F-3FDA-4238-94D3-268AB3D61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050"/>
          <a:ext cx="885825" cy="955548"/>
        </a:xfrm>
        <a:prstGeom prst="rect">
          <a:avLst/>
        </a:prstGeom>
      </xdr:spPr>
    </xdr:pic>
    <xdr:clientData/>
  </xdr:twoCellAnchor>
  <xdr:twoCellAnchor>
    <xdr:from>
      <xdr:col>1</xdr:col>
      <xdr:colOff>800100</xdr:colOff>
      <xdr:row>3</xdr:row>
      <xdr:rowOff>152399</xdr:rowOff>
    </xdr:from>
    <xdr:to>
      <xdr:col>3</xdr:col>
      <xdr:colOff>276225</xdr:colOff>
      <xdr:row>4</xdr:row>
      <xdr:rowOff>180975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76FB9A7-67DE-4631-AFBF-D274C21B93BD}"/>
            </a:ext>
          </a:extLst>
        </xdr:cNvPr>
        <xdr:cNvSpPr/>
      </xdr:nvSpPr>
      <xdr:spPr>
        <a:xfrm>
          <a:off x="1409700" y="723899"/>
          <a:ext cx="2495550" cy="219076"/>
        </a:xfrm>
        <a:prstGeom prst="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</a:t>
          </a:r>
          <a:r>
            <a:rPr lang="pt-BR" sz="11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Avaliativo de Atividades (IAA)</a:t>
          </a:r>
          <a:endParaRPr lang="pt-BR" sz="11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  <xdr:twoCellAnchor>
    <xdr:from>
      <xdr:col>3</xdr:col>
      <xdr:colOff>409575</xdr:colOff>
      <xdr:row>3</xdr:row>
      <xdr:rowOff>152399</xdr:rowOff>
    </xdr:from>
    <xdr:to>
      <xdr:col>6</xdr:col>
      <xdr:colOff>57150</xdr:colOff>
      <xdr:row>4</xdr:row>
      <xdr:rowOff>180974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5641A45-26E1-40DE-B2C9-096C0FD2854D}"/>
            </a:ext>
          </a:extLst>
        </xdr:cNvPr>
        <xdr:cNvSpPr/>
      </xdr:nvSpPr>
      <xdr:spPr>
        <a:xfrm>
          <a:off x="4038600" y="723899"/>
          <a:ext cx="1476375" cy="219075"/>
        </a:xfrm>
        <a:prstGeom prst="rect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C00000"/>
              </a:solidFill>
              <a:latin typeface="Cairo" panose="00000500000000000000" pitchFamily="2" charset="-78"/>
              <a:cs typeface="Cairo" panose="00000500000000000000" pitchFamily="2" charset="-78"/>
            </a:rPr>
            <a:t>Turnover</a:t>
          </a:r>
        </a:p>
      </xdr:txBody>
    </xdr:sp>
    <xdr:clientData/>
  </xdr:twoCellAnchor>
  <xdr:twoCellAnchor>
    <xdr:from>
      <xdr:col>1</xdr:col>
      <xdr:colOff>409575</xdr:colOff>
      <xdr:row>0</xdr:row>
      <xdr:rowOff>144991</xdr:rowOff>
    </xdr:from>
    <xdr:to>
      <xdr:col>1</xdr:col>
      <xdr:colOff>2038350</xdr:colOff>
      <xdr:row>2</xdr:row>
      <xdr:rowOff>125941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8443DE0-840F-4D47-9605-9A8D53A22F83}"/>
            </a:ext>
          </a:extLst>
        </xdr:cNvPr>
        <xdr:cNvSpPr/>
      </xdr:nvSpPr>
      <xdr:spPr>
        <a:xfrm>
          <a:off x="1019175" y="144991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Cadastro</a:t>
          </a:r>
        </a:p>
      </xdr:txBody>
    </xdr:sp>
    <xdr:clientData/>
  </xdr:twoCellAnchor>
  <xdr:twoCellAnchor>
    <xdr:from>
      <xdr:col>7</xdr:col>
      <xdr:colOff>67735</xdr:colOff>
      <xdr:row>0</xdr:row>
      <xdr:rowOff>155574</xdr:rowOff>
    </xdr:from>
    <xdr:to>
      <xdr:col>9</xdr:col>
      <xdr:colOff>481543</xdr:colOff>
      <xdr:row>2</xdr:row>
      <xdr:rowOff>136524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6A87868-C260-4B14-B688-33D4323717FE}"/>
            </a:ext>
          </a:extLst>
        </xdr:cNvPr>
        <xdr:cNvSpPr/>
      </xdr:nvSpPr>
      <xdr:spPr>
        <a:xfrm>
          <a:off x="6135160" y="155574"/>
          <a:ext cx="1633008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5W2H</a:t>
          </a:r>
        </a:p>
      </xdr:txBody>
    </xdr:sp>
    <xdr:clientData/>
  </xdr:twoCellAnchor>
  <xdr:twoCellAnchor>
    <xdr:from>
      <xdr:col>12</xdr:col>
      <xdr:colOff>433918</xdr:colOff>
      <xdr:row>0</xdr:row>
      <xdr:rowOff>155574</xdr:rowOff>
    </xdr:from>
    <xdr:to>
      <xdr:col>14</xdr:col>
      <xdr:colOff>843493</xdr:colOff>
      <xdr:row>2</xdr:row>
      <xdr:rowOff>136524</xdr:rowOff>
    </xdr:to>
    <xdr:sp macro="" textlink="">
      <xdr:nvSpPr>
        <xdr:cNvPr id="13" name="Retângulo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56777B8-85DC-452A-BC7B-B15EBAB4764B}"/>
            </a:ext>
          </a:extLst>
        </xdr:cNvPr>
        <xdr:cNvSpPr/>
      </xdr:nvSpPr>
      <xdr:spPr>
        <a:xfrm>
          <a:off x="9549343" y="155574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Relatórios</a:t>
          </a:r>
        </a:p>
      </xdr:txBody>
    </xdr:sp>
    <xdr:clientData/>
  </xdr:twoCellAnchor>
  <xdr:twoCellAnchor>
    <xdr:from>
      <xdr:col>14</xdr:col>
      <xdr:colOff>929218</xdr:colOff>
      <xdr:row>0</xdr:row>
      <xdr:rowOff>165099</xdr:rowOff>
    </xdr:from>
    <xdr:to>
      <xdr:col>15</xdr:col>
      <xdr:colOff>338668</xdr:colOff>
      <xdr:row>2</xdr:row>
      <xdr:rowOff>146049</xdr:rowOff>
    </xdr:to>
    <xdr:sp macro="" textlink="">
      <xdr:nvSpPr>
        <xdr:cNvPr id="14" name="Retângulo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22346F7-7A38-4A72-B8D4-71761F711B9E}"/>
            </a:ext>
          </a:extLst>
        </xdr:cNvPr>
        <xdr:cNvSpPr/>
      </xdr:nvSpPr>
      <xdr:spPr>
        <a:xfrm>
          <a:off x="11263843" y="165099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Dashboard</a:t>
          </a:r>
        </a:p>
      </xdr:txBody>
    </xdr:sp>
    <xdr:clientData/>
  </xdr:twoCellAnchor>
  <xdr:twoCellAnchor>
    <xdr:from>
      <xdr:col>1</xdr:col>
      <xdr:colOff>2105025</xdr:colOff>
      <xdr:row>0</xdr:row>
      <xdr:rowOff>144991</xdr:rowOff>
    </xdr:from>
    <xdr:to>
      <xdr:col>4</xdr:col>
      <xdr:colOff>104775</xdr:colOff>
      <xdr:row>2</xdr:row>
      <xdr:rowOff>125941</xdr:rowOff>
    </xdr:to>
    <xdr:sp macro="" textlink="">
      <xdr:nvSpPr>
        <xdr:cNvPr id="15" name="Retângul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5703BD9-ED0B-4015-B85F-056F8933AF94}"/>
            </a:ext>
          </a:extLst>
        </xdr:cNvPr>
        <xdr:cNvSpPr/>
      </xdr:nvSpPr>
      <xdr:spPr>
        <a:xfrm>
          <a:off x="2714625" y="144991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Análise de SWOT</a:t>
          </a:r>
        </a:p>
      </xdr:txBody>
    </xdr:sp>
    <xdr:clientData/>
  </xdr:twoCellAnchor>
  <xdr:twoCellAnchor>
    <xdr:from>
      <xdr:col>9</xdr:col>
      <xdr:colOff>553510</xdr:colOff>
      <xdr:row>0</xdr:row>
      <xdr:rowOff>155574</xdr:rowOff>
    </xdr:from>
    <xdr:to>
      <xdr:col>12</xdr:col>
      <xdr:colOff>357718</xdr:colOff>
      <xdr:row>2</xdr:row>
      <xdr:rowOff>136524</xdr:rowOff>
    </xdr:to>
    <xdr:sp macro="" textlink="">
      <xdr:nvSpPr>
        <xdr:cNvPr id="16" name="Retângulo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932518C-4D42-44F1-8B65-75279348C841}"/>
            </a:ext>
          </a:extLst>
        </xdr:cNvPr>
        <xdr:cNvSpPr/>
      </xdr:nvSpPr>
      <xdr:spPr>
        <a:xfrm>
          <a:off x="7840135" y="155574"/>
          <a:ext cx="1633008" cy="36195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Indicadores</a:t>
          </a:r>
        </a:p>
      </xdr:txBody>
    </xdr:sp>
    <xdr:clientData/>
  </xdr:twoCellAnchor>
  <xdr:twoCellAnchor>
    <xdr:from>
      <xdr:col>4</xdr:col>
      <xdr:colOff>191558</xdr:colOff>
      <xdr:row>0</xdr:row>
      <xdr:rowOff>142875</xdr:rowOff>
    </xdr:from>
    <xdr:to>
      <xdr:col>6</xdr:col>
      <xdr:colOff>601133</xdr:colOff>
      <xdr:row>2</xdr:row>
      <xdr:rowOff>123825</xdr:rowOff>
    </xdr:to>
    <xdr:sp macro="" textlink="">
      <xdr:nvSpPr>
        <xdr:cNvPr id="17" name="Retângulo 1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DCD3BD8-DC25-4287-A869-427E55BEC188}"/>
            </a:ext>
          </a:extLst>
        </xdr:cNvPr>
        <xdr:cNvSpPr/>
      </xdr:nvSpPr>
      <xdr:spPr>
        <a:xfrm>
          <a:off x="4430183" y="142875"/>
          <a:ext cx="16287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Objetivos Est.</a:t>
          </a:r>
          <a:r>
            <a:rPr lang="pt-BR" sz="1200" b="1" baseline="0">
              <a:solidFill>
                <a:schemeClr val="bg1"/>
              </a:solidFill>
              <a:latin typeface="Cairo" panose="00000500000000000000" pitchFamily="2" charset="-78"/>
              <a:cs typeface="Cairo" panose="00000500000000000000" pitchFamily="2" charset="-78"/>
            </a:rPr>
            <a:t> e Metas</a:t>
          </a:r>
          <a:endParaRPr lang="pt-BR" sz="1200" b="1">
            <a:solidFill>
              <a:schemeClr val="bg1"/>
            </a:solidFill>
            <a:latin typeface="Cairo" panose="00000500000000000000" pitchFamily="2" charset="-78"/>
            <a:cs typeface="Cairo" panose="00000500000000000000" pitchFamily="2" charset="-78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amendon" refreshedDate="44141.402764699073" createdVersion="6" refreshedVersion="6" minRefreshableVersion="3" recordCount="22" xr:uid="{265036C6-F585-4C6F-A7D0-C9235D833D21}">
  <cacheSource type="worksheet">
    <worksheetSource name="Tabela5"/>
  </cacheSource>
  <cacheFields count="20">
    <cacheField name="Numeração" numFmtId="0">
      <sharedItems containsSemiMixedTypes="0" containsString="0" containsNumber="1" containsInteger="1" minValue="1" maxValue="22"/>
    </cacheField>
    <cacheField name="Meta" numFmtId="0">
      <sharedItems/>
    </cacheField>
    <cacheField name="Atividade" numFmtId="0">
      <sharedItems count="3">
        <s v="PET Educa"/>
        <s v="PET nas Escolas"/>
        <s v="Semana Zero"/>
      </sharedItems>
    </cacheField>
    <cacheField name="Prioridade" numFmtId="0">
      <sharedItems/>
    </cacheField>
    <cacheField name="What - O que será feito?" numFmtId="0">
      <sharedItems/>
    </cacheField>
    <cacheField name="Why - Por que será feito?" numFmtId="0">
      <sharedItems/>
    </cacheField>
    <cacheField name="Who - Por quem será feito?" numFmtId="0">
      <sharedItems count="5">
        <s v="Bianca"/>
        <s v="Nayanne"/>
        <s v="Beatriz"/>
        <s v="Victor"/>
        <s v="Izabele" u="1"/>
      </sharedItems>
    </cacheField>
    <cacheField name="Comissão" numFmtId="0">
      <sharedItems/>
    </cacheField>
    <cacheField name="When - Data de início" numFmtId="14">
      <sharedItems containsSemiMixedTypes="0" containsNonDate="0" containsDate="1" containsString="0" minDate="2020-01-01T00:00:00" maxDate="2020-07-09T00:00:00"/>
    </cacheField>
    <cacheField name="Mês" numFmtId="0">
      <sharedItems containsSemiMixedTypes="0" containsString="0" containsNumber="1" containsInteger="1" minValue="1" maxValue="7"/>
    </cacheField>
    <cacheField name="Prazo (Dias)" numFmtId="0">
      <sharedItems containsSemiMixedTypes="0" containsString="0" containsNumber="1" containsInteger="1" minValue="2" maxValue="23"/>
    </cacheField>
    <cacheField name="Fim Planejado" numFmtId="14">
      <sharedItems containsSemiMixedTypes="0" containsNonDate="0" containsDate="1" containsString="0" minDate="2020-01-03T00:00:00" maxDate="2020-08-01T00:00:00"/>
    </cacheField>
    <cacheField name="Fim Realizado" numFmtId="14">
      <sharedItems containsSemiMixedTypes="0" containsNonDate="0" containsDate="1" containsString="0" minDate="2020-01-03T00:00:00" maxDate="2020-02-02T00:00:00"/>
    </cacheField>
    <cacheField name="Diferença" numFmtId="0">
      <sharedItems containsSemiMixedTypes="0" containsString="0" containsNumber="1" containsInteger="1" minValue="-1" maxValue="200"/>
    </cacheField>
    <cacheField name="Where - Onde?" numFmtId="0">
      <sharedItems/>
    </cacheField>
    <cacheField name="How - Como será feito?" numFmtId="0">
      <sharedItems/>
    </cacheField>
    <cacheField name="How much - Valor Previsto" numFmtId="7">
      <sharedItems containsSemiMixedTypes="0" containsString="0" containsNumber="1" minValue="0" maxValue="184.5"/>
    </cacheField>
    <cacheField name="Valor Real" numFmtId="7">
      <sharedItems containsSemiMixedTypes="0" containsString="0" containsNumber="1" minValue="5" maxValue="195.5"/>
    </cacheField>
    <cacheField name="Diferença2" numFmtId="7">
      <sharedItems containsSemiMixedTypes="0" containsString="0" containsNumber="1" minValue="-11" maxValue="5"/>
    </cacheField>
    <cacheField name="Status" numFmtId="0">
      <sharedItems count="3">
        <s v="Realizada"/>
        <s v="Em andamento"/>
        <s v="Pendente"/>
      </sharedItems>
    </cacheField>
  </cacheFields>
  <extLst>
    <ext xmlns:x14="http://schemas.microsoft.com/office/spreadsheetml/2009/9/main" uri="{725AE2AE-9491-48be-B2B4-4EB974FC3084}">
      <x14:pivotCacheDefinition pivotCacheId="177901111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n v="1"/>
    <s v="Superar 1000 inscritos no Youtube"/>
    <x v="0"/>
    <s v="Alta"/>
    <s v="askmsa"/>
    <s v="adlsad"/>
    <x v="0"/>
    <s v="Pessoas"/>
    <d v="2020-01-01T00:00:00"/>
    <n v="1"/>
    <n v="2"/>
    <d v="2020-01-03T00:00:00"/>
    <d v="2020-01-03T00:00:00"/>
    <n v="0"/>
    <s v="asdasd"/>
    <s v="sdfsdfsd"/>
    <n v="0"/>
    <n v="5"/>
    <n v="-5"/>
    <x v="0"/>
  </r>
  <r>
    <n v="2"/>
    <s v="bbbbb"/>
    <x v="1"/>
    <s v="Média"/>
    <s v="asdsad"/>
    <s v="asdassd"/>
    <x v="1"/>
    <s v="Marketing e Comunicação"/>
    <d v="2020-01-10T00:00:00"/>
    <n v="1"/>
    <n v="3"/>
    <d v="2020-01-13T00:00:00"/>
    <d v="2020-01-14T00:00:00"/>
    <n v="-1"/>
    <s v="dasdasd"/>
    <s v="asdasd"/>
    <n v="10"/>
    <n v="5"/>
    <n v="5"/>
    <x v="1"/>
  </r>
  <r>
    <n v="3"/>
    <s v="asdsa"/>
    <x v="2"/>
    <s v="Alta"/>
    <s v="sddasd"/>
    <s v="fasdasd"/>
    <x v="2"/>
    <s v="Acadêmica"/>
    <d v="2020-01-19T00:00:00"/>
    <n v="1"/>
    <n v="4"/>
    <d v="2020-01-23T00:00:00"/>
    <d v="2020-01-23T00:00:00"/>
    <n v="0"/>
    <s v="sdasdas"/>
    <s v="asdasd"/>
    <n v="50"/>
    <n v="50"/>
    <n v="0"/>
    <x v="2"/>
  </r>
  <r>
    <n v="4"/>
    <s v="asdsadx"/>
    <x v="1"/>
    <s v="Baixa"/>
    <s v="asdasd"/>
    <s v="asdasd"/>
    <x v="3"/>
    <s v="Administrativa e Financeira"/>
    <d v="2020-01-28T00:00:00"/>
    <n v="1"/>
    <n v="5"/>
    <d v="2020-02-02T00:00:00"/>
    <d v="2020-02-01T00:00:00"/>
    <n v="1"/>
    <s v="adasd"/>
    <s v="dasasd"/>
    <n v="15"/>
    <n v="20"/>
    <n v="-5"/>
    <x v="0"/>
  </r>
  <r>
    <n v="5"/>
    <s v="Superar 1000 inscritos no Youtube"/>
    <x v="0"/>
    <s v="Alta"/>
    <s v="askmsa"/>
    <s v="adlsad"/>
    <x v="0"/>
    <s v="Pessoas"/>
    <d v="2020-02-06T00:00:00"/>
    <n v="2"/>
    <n v="6"/>
    <d v="2020-02-12T00:00:00"/>
    <d v="2020-01-03T00:00:00"/>
    <n v="40"/>
    <s v="asdasd"/>
    <s v="sdfsdfsd"/>
    <n v="40"/>
    <n v="42.5"/>
    <n v="-2.5"/>
    <x v="0"/>
  </r>
  <r>
    <n v="6"/>
    <s v="bbbbb"/>
    <x v="1"/>
    <s v="Média"/>
    <s v="asdsad"/>
    <s v="asdassd"/>
    <x v="1"/>
    <s v="Marketing e Comunicação"/>
    <d v="2020-02-15T00:00:00"/>
    <n v="2"/>
    <n v="7"/>
    <d v="2020-02-22T00:00:00"/>
    <d v="2020-01-14T00:00:00"/>
    <n v="39"/>
    <s v="dasdasd"/>
    <s v="asdasd"/>
    <n v="48.5"/>
    <n v="51.5"/>
    <n v="-3"/>
    <x v="1"/>
  </r>
  <r>
    <n v="7"/>
    <s v="asdsa"/>
    <x v="2"/>
    <s v="Alta"/>
    <s v="sddasd"/>
    <s v="fasdasd"/>
    <x v="2"/>
    <s v="Acadêmica"/>
    <d v="2020-02-24T00:00:00"/>
    <n v="2"/>
    <n v="8"/>
    <d v="2020-03-03T00:00:00"/>
    <d v="2020-01-23T00:00:00"/>
    <n v="40"/>
    <s v="sdasdas"/>
    <s v="asdasd"/>
    <n v="57"/>
    <n v="60.5"/>
    <n v="-3.5"/>
    <x v="2"/>
  </r>
  <r>
    <n v="8"/>
    <s v="asdsadx"/>
    <x v="1"/>
    <s v="Baixa"/>
    <s v="asdasd"/>
    <s v="asdasd"/>
    <x v="3"/>
    <s v="Administrativa e Financeira"/>
    <d v="2020-03-04T00:00:00"/>
    <n v="3"/>
    <n v="9"/>
    <d v="2020-03-13T00:00:00"/>
    <d v="2020-02-01T00:00:00"/>
    <n v="41"/>
    <s v="adasd"/>
    <s v="dasasd"/>
    <n v="65.5"/>
    <n v="69.5"/>
    <n v="-4"/>
    <x v="0"/>
  </r>
  <r>
    <n v="9"/>
    <s v="Superar 1000 inscritos no Youtube"/>
    <x v="0"/>
    <s v="Alta"/>
    <s v="askmsa"/>
    <s v="adlsad"/>
    <x v="0"/>
    <s v="Pessoas"/>
    <d v="2020-03-13T00:00:00"/>
    <n v="3"/>
    <n v="10"/>
    <d v="2020-03-23T00:00:00"/>
    <d v="2020-01-03T00:00:00"/>
    <n v="80"/>
    <s v="asdasd"/>
    <s v="sdfsdfsd"/>
    <n v="74"/>
    <n v="78.5"/>
    <n v="-4.5"/>
    <x v="0"/>
  </r>
  <r>
    <n v="10"/>
    <s v="bbbbb"/>
    <x v="1"/>
    <s v="Média"/>
    <s v="asdsad"/>
    <s v="asdassd"/>
    <x v="1"/>
    <s v="Marketing e Comunicação"/>
    <d v="2020-03-22T00:00:00"/>
    <n v="3"/>
    <n v="11"/>
    <d v="2020-04-02T00:00:00"/>
    <d v="2020-01-14T00:00:00"/>
    <n v="79"/>
    <s v="dasdasd"/>
    <s v="asdasd"/>
    <n v="82.5"/>
    <n v="87.5"/>
    <n v="-5"/>
    <x v="1"/>
  </r>
  <r>
    <n v="11"/>
    <s v="asdsa"/>
    <x v="2"/>
    <s v="Alta"/>
    <s v="sddasd"/>
    <s v="fasdasd"/>
    <x v="2"/>
    <s v="Acadêmica"/>
    <d v="2020-03-31T00:00:00"/>
    <n v="3"/>
    <n v="12"/>
    <d v="2020-04-12T00:00:00"/>
    <d v="2020-01-23T00:00:00"/>
    <n v="80"/>
    <s v="sdasdas"/>
    <s v="asdasd"/>
    <n v="91"/>
    <n v="96.5"/>
    <n v="-5.5"/>
    <x v="2"/>
  </r>
  <r>
    <n v="12"/>
    <s v="asdsadx"/>
    <x v="1"/>
    <s v="Baixa"/>
    <s v="asdasd"/>
    <s v="asdasd"/>
    <x v="3"/>
    <s v="Administrativa e Financeira"/>
    <d v="2020-04-09T00:00:00"/>
    <n v="4"/>
    <n v="13"/>
    <d v="2020-04-22T00:00:00"/>
    <d v="2020-02-01T00:00:00"/>
    <n v="81"/>
    <s v="adasd"/>
    <s v="dasasd"/>
    <n v="99.5"/>
    <n v="105.5"/>
    <n v="-6"/>
    <x v="0"/>
  </r>
  <r>
    <n v="13"/>
    <s v="Superar 1000 inscritos no Youtube"/>
    <x v="0"/>
    <s v="Alta"/>
    <s v="askmsa"/>
    <s v="adlsad"/>
    <x v="0"/>
    <s v="Pessoas"/>
    <d v="2020-04-18T00:00:00"/>
    <n v="4"/>
    <n v="14"/>
    <d v="2020-05-02T00:00:00"/>
    <d v="2020-01-03T00:00:00"/>
    <n v="120"/>
    <s v="asdasd"/>
    <s v="sdfsdfsd"/>
    <n v="108"/>
    <n v="114.5"/>
    <n v="-6.5"/>
    <x v="0"/>
  </r>
  <r>
    <n v="14"/>
    <s v="bbbbb"/>
    <x v="1"/>
    <s v="Média"/>
    <s v="asdsad"/>
    <s v="asdassd"/>
    <x v="1"/>
    <s v="Marketing e Comunicação"/>
    <d v="2020-04-27T00:00:00"/>
    <n v="4"/>
    <n v="15"/>
    <d v="2020-05-12T00:00:00"/>
    <d v="2020-01-14T00:00:00"/>
    <n v="119"/>
    <s v="dasdasd"/>
    <s v="asdasd"/>
    <n v="116.5"/>
    <n v="123.5"/>
    <n v="-7"/>
    <x v="1"/>
  </r>
  <r>
    <n v="15"/>
    <s v="asdsa"/>
    <x v="2"/>
    <s v="Alta"/>
    <s v="sddasd"/>
    <s v="fasdasd"/>
    <x v="2"/>
    <s v="Acadêmica"/>
    <d v="2020-05-06T00:00:00"/>
    <n v="5"/>
    <n v="16"/>
    <d v="2020-05-22T00:00:00"/>
    <d v="2020-01-23T00:00:00"/>
    <n v="120"/>
    <s v="sdasdas"/>
    <s v="asdasd"/>
    <n v="125"/>
    <n v="132.5"/>
    <n v="-7.5"/>
    <x v="2"/>
  </r>
  <r>
    <n v="16"/>
    <s v="asdsadx"/>
    <x v="1"/>
    <s v="Baixa"/>
    <s v="asdasd"/>
    <s v="asdasd"/>
    <x v="3"/>
    <s v="Administrativa e Financeira"/>
    <d v="2020-05-15T00:00:00"/>
    <n v="5"/>
    <n v="17"/>
    <d v="2020-06-01T00:00:00"/>
    <d v="2020-02-01T00:00:00"/>
    <n v="121"/>
    <s v="adasd"/>
    <s v="dasasd"/>
    <n v="133.5"/>
    <n v="141.5"/>
    <n v="-8"/>
    <x v="0"/>
  </r>
  <r>
    <n v="17"/>
    <s v="Superar 1000 inscritos no Youtube"/>
    <x v="0"/>
    <s v="Alta"/>
    <s v="askmsa"/>
    <s v="adlsad"/>
    <x v="0"/>
    <s v="Pessoas"/>
    <d v="2020-05-24T00:00:00"/>
    <n v="5"/>
    <n v="18"/>
    <d v="2020-06-11T00:00:00"/>
    <d v="2020-01-03T00:00:00"/>
    <n v="160"/>
    <s v="asdasd"/>
    <s v="sdfsdfsd"/>
    <n v="142"/>
    <n v="150.5"/>
    <n v="-8.5"/>
    <x v="0"/>
  </r>
  <r>
    <n v="18"/>
    <s v="bbbbb"/>
    <x v="1"/>
    <s v="Média"/>
    <s v="asdsad"/>
    <s v="asdassd"/>
    <x v="1"/>
    <s v="Marketing e Comunicação"/>
    <d v="2020-06-02T00:00:00"/>
    <n v="6"/>
    <n v="19"/>
    <d v="2020-06-21T00:00:00"/>
    <d v="2020-01-14T00:00:00"/>
    <n v="159"/>
    <s v="dasdasd"/>
    <s v="asdasd"/>
    <n v="150.5"/>
    <n v="159.5"/>
    <n v="-9"/>
    <x v="1"/>
  </r>
  <r>
    <n v="19"/>
    <s v="asdsa"/>
    <x v="2"/>
    <s v="Alta"/>
    <s v="sddasd"/>
    <s v="fasdasd"/>
    <x v="2"/>
    <s v="Acadêmica"/>
    <d v="2020-06-11T00:00:00"/>
    <n v="6"/>
    <n v="20"/>
    <d v="2020-07-01T00:00:00"/>
    <d v="2020-01-23T00:00:00"/>
    <n v="160"/>
    <s v="sdasdas"/>
    <s v="asdasd"/>
    <n v="159"/>
    <n v="168.5"/>
    <n v="-9.5"/>
    <x v="2"/>
  </r>
  <r>
    <n v="20"/>
    <s v="asdsadx"/>
    <x v="1"/>
    <s v="Baixa"/>
    <s v="asdasd"/>
    <s v="asdasd"/>
    <x v="3"/>
    <s v="Administrativa e Financeira"/>
    <d v="2020-06-20T00:00:00"/>
    <n v="6"/>
    <n v="21"/>
    <d v="2020-07-11T00:00:00"/>
    <d v="2020-02-01T00:00:00"/>
    <n v="161"/>
    <s v="adasd"/>
    <s v="dasasd"/>
    <n v="167.5"/>
    <n v="177.5"/>
    <n v="-10"/>
    <x v="0"/>
  </r>
  <r>
    <n v="21"/>
    <s v="Superar 1000 inscritos no Youtube"/>
    <x v="0"/>
    <s v="Alta"/>
    <s v="askmsa"/>
    <s v="adlsad"/>
    <x v="0"/>
    <s v="Pessoas"/>
    <d v="2020-06-29T00:00:00"/>
    <n v="6"/>
    <n v="22"/>
    <d v="2020-07-21T00:00:00"/>
    <d v="2020-01-03T00:00:00"/>
    <n v="200"/>
    <s v="asdasd"/>
    <s v="sdfsdfsd"/>
    <n v="176"/>
    <n v="186.5"/>
    <n v="-10.5"/>
    <x v="0"/>
  </r>
  <r>
    <n v="22"/>
    <s v="bbbbb"/>
    <x v="1"/>
    <s v="Média"/>
    <s v="asdsad"/>
    <s v="asdassd"/>
    <x v="1"/>
    <s v="Marketing e Comunicação"/>
    <d v="2020-07-08T00:00:00"/>
    <n v="7"/>
    <n v="23"/>
    <d v="2020-07-31T00:00:00"/>
    <d v="2020-01-14T00:00:00"/>
    <n v="199"/>
    <s v="dasdasd"/>
    <s v="asdasd"/>
    <n v="184.5"/>
    <n v="195.5"/>
    <n v="-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2BB8E4-C39C-4D0E-AC33-B95AAA694D25}" name="Tabela dinâmica2" cacheId="1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6" rowHeaderCaption="PETianos (as)" colHeaderCaption="Status">
  <location ref="H13:L19" firstHeaderRow="1" firstDataRow="2" firstDataCol="1" rowPageCount="1" colPageCount="1"/>
  <pivotFields count="20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name="PETiano (a)" axis="axisRow" multipleItemSelectionAllowed="1" showAll="0">
      <items count="6">
        <item x="2"/>
        <item x="0"/>
        <item m="1" x="4"/>
        <item x="1"/>
        <item x="3"/>
        <item t="default"/>
      </items>
    </pivotField>
    <pivotField showAll="0"/>
    <pivotField numFmtId="14" showAll="0"/>
    <pivotField showAll="0"/>
    <pivotField showAll="0"/>
    <pivotField numFmtId="14" showAll="0"/>
    <pivotField numFmtId="14" showAll="0"/>
    <pivotField showAll="0"/>
    <pivotField showAll="0"/>
    <pivotField showAll="0"/>
    <pivotField numFmtId="7" showAll="0"/>
    <pivotField numFmtId="7" showAll="0"/>
    <pivotField numFmtId="7" showAll="0"/>
    <pivotField axis="axisCol" dataField="1" showAll="0" includeNewItemsInFilter="1" sumSubtotal="1">
      <items count="4">
        <item x="1"/>
        <item x="2"/>
        <item x="0"/>
        <item t="sum"/>
      </items>
    </pivotField>
  </pivotFields>
  <rowFields count="1">
    <field x="6"/>
  </rowFields>
  <rowItems count="5">
    <i>
      <x/>
    </i>
    <i>
      <x v="1"/>
    </i>
    <i>
      <x v="3"/>
    </i>
    <i>
      <x v="4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pageFields count="1">
    <pageField fld="2" hier="-1"/>
  </pageFields>
  <dataFields count="1">
    <dataField name="Contagem de Status" fld="19" subtotal="count" baseField="0" baseItem="0"/>
  </dataFields>
  <formats count="61">
    <format dxfId="72">
      <pivotArea field="6" type="button" dataOnly="0" labelOnly="1" outline="0" axis="axisRow" fieldPosition="0"/>
    </format>
    <format dxfId="71">
      <pivotArea dataOnly="0" labelOnly="1" outline="0" axis="axisValues" fieldPosition="0"/>
    </format>
    <format dxfId="70">
      <pivotArea grandRow="1" outline="0" collapsedLevelsAreSubtotals="1" fieldPosition="0"/>
    </format>
    <format dxfId="69">
      <pivotArea dataOnly="0" labelOnly="1" grandRow="1" outline="0" fieldPosition="0"/>
    </format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6" type="button" dataOnly="0" labelOnly="1" outline="0" axis="axisRow" fieldPosition="0"/>
    </format>
    <format dxfId="65">
      <pivotArea dataOnly="0" labelOnly="1" grandRow="1" outline="0" fieldPosition="0"/>
    </format>
    <format dxfId="64">
      <pivotArea dataOnly="0" labelOnly="1" outline="0" axis="axisValues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6" type="button" dataOnly="0" labelOnly="1" outline="0" axis="axisRow" fieldPosition="0"/>
    </format>
    <format dxfId="60">
      <pivotArea dataOnly="0" labelOnly="1" grandRow="1" outline="0" fieldPosition="0"/>
    </format>
    <format dxfId="59">
      <pivotArea dataOnly="0" labelOnly="1" outline="0" axis="axisValues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6" type="button" dataOnly="0" labelOnly="1" outline="0" axis="axisRow" fieldPosition="0"/>
    </format>
    <format dxfId="55">
      <pivotArea dataOnly="0" labelOnly="1" grandRow="1" outline="0" fieldPosition="0"/>
    </format>
    <format dxfId="54">
      <pivotArea dataOnly="0" labelOnly="1" outline="0" axis="axisValues" fieldPosition="0"/>
    </format>
    <format dxfId="53">
      <pivotArea field="6" type="button" dataOnly="0" labelOnly="1" outline="0" axis="axisRow" fieldPosition="0"/>
    </format>
    <format dxfId="52">
      <pivotArea dataOnly="0" labelOnly="1" outline="0" axis="axisValues" fieldPosition="0"/>
    </format>
    <format dxfId="51">
      <pivotArea field="6" type="button" dataOnly="0" labelOnly="1" outline="0" axis="axisRow" fieldPosition="0"/>
    </format>
    <format dxfId="50">
      <pivotArea dataOnly="0" labelOnly="1" outline="0" axis="axisValues" fieldPosition="0"/>
    </format>
    <format dxfId="49">
      <pivotArea grandRow="1" outline="0" collapsedLevelsAreSubtotals="1" fieldPosition="0"/>
    </format>
    <format dxfId="48">
      <pivotArea dataOnly="0" labelOnly="1" grandRow="1" outline="0" fieldPosition="0"/>
    </format>
    <format dxfId="47">
      <pivotArea type="origin" dataOnly="0" labelOnly="1" outline="0" fieldPosition="0"/>
    </format>
    <format dxfId="46">
      <pivotArea type="origin" dataOnly="0" labelOnly="1" outline="0" fieldPosition="0"/>
    </format>
    <format dxfId="45">
      <pivotArea field="19" type="button" dataOnly="0" labelOnly="1" outline="0" axis="axisCol" fieldPosition="0"/>
    </format>
    <format dxfId="44">
      <pivotArea type="topRight" dataOnly="0" labelOnly="1" outline="0" fieldPosition="0"/>
    </format>
    <format dxfId="43">
      <pivotArea field="6" type="button" dataOnly="0" labelOnly="1" outline="0" axis="axisRow" fieldPosition="0"/>
    </format>
    <format dxfId="42">
      <pivotArea dataOnly="0" labelOnly="1" fieldPosition="0">
        <references count="1">
          <reference field="19" count="0"/>
        </references>
      </pivotArea>
    </format>
    <format dxfId="41">
      <pivotArea dataOnly="0" labelOnly="1" grandCol="1" outline="0" fieldPosition="0"/>
    </format>
    <format dxfId="40">
      <pivotArea field="19" type="button" dataOnly="0" labelOnly="1" outline="0" axis="axisCol" fieldPosition="0"/>
    </format>
    <format dxfId="39">
      <pivotArea type="topRight" dataOnly="0" labelOnly="1" outline="0" fieldPosition="0"/>
    </format>
    <format dxfId="38">
      <pivotArea field="6" type="button" dataOnly="0" labelOnly="1" outline="0" axis="axisRow" fieldPosition="0"/>
    </format>
    <format dxfId="37">
      <pivotArea dataOnly="0" labelOnly="1" fieldPosition="0">
        <references count="1">
          <reference field="19" count="0"/>
        </references>
      </pivotArea>
    </format>
    <format dxfId="36">
      <pivotArea dataOnly="0" labelOnly="1" grandCol="1" outline="0" fieldPosition="0"/>
    </format>
    <format dxfId="35">
      <pivotArea type="origin" dataOnly="0" labelOnly="1" outline="0" fieldPosition="0"/>
    </format>
    <format dxfId="34">
      <pivotArea type="origin" dataOnly="0" labelOnly="1" outline="0" fieldPosition="0"/>
    </format>
    <format dxfId="33">
      <pivotArea type="origin" dataOnly="0" labelOnly="1" outline="0" fieldPosition="0"/>
    </format>
    <format dxfId="32">
      <pivotArea grandRow="1" outline="0" collapsedLevelsAreSubtotals="1" fieldPosition="0"/>
    </format>
    <format dxfId="31">
      <pivotArea dataOnly="0" labelOnly="1" grandRow="1" outline="0" fieldPosition="0"/>
    </format>
    <format dxfId="30">
      <pivotArea field="6" type="button" dataOnly="0" labelOnly="1" outline="0" axis="axisRow" fieldPosition="0"/>
    </format>
    <format dxfId="29">
      <pivotArea field="6" type="button" dataOnly="0" labelOnly="1" outline="0" axis="axisRow" fieldPosition="0"/>
    </format>
    <format dxfId="28">
      <pivotArea field="6" type="button" dataOnly="0" labelOnly="1" outline="0" axis="axisRow" fieldPosition="0"/>
    </format>
    <format dxfId="27">
      <pivotArea field="6" type="button" dataOnly="0" labelOnly="1" outline="0" axis="axisRow" fieldPosition="0"/>
    </format>
    <format dxfId="26">
      <pivotArea field="6" type="button" dataOnly="0" labelOnly="1" outline="0" axis="axisRow" fieldPosition="0"/>
    </format>
    <format dxfId="25">
      <pivotArea field="6" type="button" dataOnly="0" labelOnly="1" outline="0" axis="axisRow" fieldPosition="0"/>
    </format>
    <format dxfId="24">
      <pivotArea outline="0" collapsedLevelsAreSubtotals="1" fieldPosition="0"/>
    </format>
    <format dxfId="23">
      <pivotArea dataOnly="0" labelOnly="1" outline="0" axis="axisValues" fieldPosition="0"/>
    </format>
    <format dxfId="22">
      <pivotArea outline="0" collapsedLevelsAreSubtotals="1" fieldPosition="0"/>
    </format>
    <format dxfId="21">
      <pivotArea dataOnly="0" labelOnly="1" outline="0" axis="axisValues" fieldPosition="0"/>
    </format>
    <format dxfId="20">
      <pivotArea field="2" type="button" dataOnly="0" labelOnly="1" outline="0" axis="axisPage" fieldPosition="0"/>
    </format>
    <format dxfId="19">
      <pivotArea field="2" type="button" dataOnly="0" labelOnly="1" outline="0" axis="axisPage" fieldPosition="0"/>
    </format>
    <format dxfId="18">
      <pivotArea grandRow="1" outline="0" collapsedLevelsAreSubtotals="1" fieldPosition="0"/>
    </format>
    <format dxfId="17">
      <pivotArea dataOnly="0" labelOnly="1" grandRow="1" outline="0" fieldPosition="0"/>
    </format>
    <format dxfId="16">
      <pivotArea field="2" type="button" dataOnly="0" labelOnly="1" outline="0" axis="axisPage" fieldPosition="0"/>
    </format>
    <format dxfId="15">
      <pivotArea field="2" type="button" dataOnly="0" labelOnly="1" outline="0" axis="axisPage" fieldPosition="0"/>
    </format>
    <format dxfId="14">
      <pivotArea field="6" type="button" dataOnly="0" labelOnly="1" outline="0" axis="axisRow" fieldPosition="0"/>
    </format>
    <format dxfId="13">
      <pivotArea field="6" type="button" dataOnly="0" labelOnly="1" outline="0" axis="axisRow" fieldPosition="0"/>
    </format>
    <format dxfId="12">
      <pivotArea field="6" type="button" dataOnly="0" labelOnly="1" outline="0" axis="axisRow" fieldPosition="0"/>
    </format>
  </formats>
  <chartFormats count="3">
    <chartFormat chart="5" format="11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5" format="12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5" format="13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Medium18" showRowHeaders="1" showColHeaders="1" showRowStripes="0" showColStripes="0" showLastColumn="1"/>
  <filters count="2">
    <filter fld="11" type="dateBetween" evalOrder="-1" id="56" name="Fim Planejado">
      <autoFilter ref="A1">
        <filterColumn colId="0">
          <customFilters and="1">
            <customFilter operator="greaterThanOrEqual" val="43831"/>
            <customFilter operator="lessThanOrEqual" val="4456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8" type="dateBetween" evalOrder="-1" id="55" name="When - Data de início">
      <autoFilter ref="A1">
        <filterColumn colId="0">
          <customFilters and="1">
            <customFilter operator="greaterThanOrEqual" val="43831"/>
            <customFilter operator="lessThanOrEqual" val="4456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0356EA-8C90-49B1-B56C-9E4CB1E53FE4}" name="Tabela dinâmica2" cacheId="1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I14:K18" firstHeaderRow="0" firstDataRow="1" firstDataCol="1"/>
  <pivotFields count="20"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numFmtId="14" showAll="0"/>
    <pivotField showAll="0"/>
    <pivotField showAll="0"/>
    <pivotField numFmtId="14" showAll="0"/>
    <pivotField numFmtId="14" showAll="0"/>
    <pivotField showAll="0"/>
    <pivotField showAll="0"/>
    <pivotField showAll="0"/>
    <pivotField dataField="1" numFmtId="7" showAll="0"/>
    <pivotField dataField="1" numFmtId="7" showAll="0"/>
    <pivotField numFmtId="7"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Estimativa" fld="16" baseField="0" baseItem="0"/>
    <dataField name="Real" fld="17" baseField="0" baseItem="0"/>
  </dataFields>
  <formats count="1">
    <format dxfId="11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DB11AD-A45D-4FD7-8645-1413EED25342}" name="Tabela2" displayName="Tabela2" ref="B8:E13" totalsRowShown="0" headerRowDxfId="179" dataDxfId="178">
  <autoFilter ref="B8:E13" xr:uid="{7D7AC92E-A712-449A-9B25-3AAF6A4C6898}"/>
  <tableColumns count="4">
    <tableColumn id="1" xr3:uid="{16F74A29-E1EE-4F6E-8E7F-EF5C1312DC94}" name="Nome" dataDxfId="177"/>
    <tableColumn id="2" xr3:uid="{D9BBEB71-6927-4DED-AD11-B069B244C9A3}" name="Comissão" dataDxfId="176"/>
    <tableColumn id="3" xr3:uid="{A101AE21-BCDA-461C-966A-16F5ADBE3D18}" name="Telefone" dataDxfId="175"/>
    <tableColumn id="4" xr3:uid="{D30343D9-E0B1-4472-B9EA-B6F4C3CE9F99}" name="E-mail" dataDxfId="174" dataCellStyle="Hiperlink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35306E-3C99-4287-98A3-9B854C3C91E2}" name="Comissao" displayName="Comissao" ref="B8:B12" totalsRowShown="0" headerRowDxfId="173" dataDxfId="172">
  <autoFilter ref="B8:B12" xr:uid="{96564D25-6FD9-4D79-8980-8342DB3ADA01}"/>
  <tableColumns count="1">
    <tableColumn id="1" xr3:uid="{3BBB790F-C4FF-4C50-9BBE-E408096D986D}" name="Comissões" dataDxfId="17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821620-0D0D-4D2F-8A63-07E4FF946EDA}" name="Tabela3" displayName="Tabela3" ref="B8:B11" totalsRowShown="0" headerRowDxfId="170" dataDxfId="169">
  <autoFilter ref="B8:B11" xr:uid="{33C65113-67F3-4057-AEA3-D6FC270B6EE9}"/>
  <tableColumns count="1">
    <tableColumn id="1" xr3:uid="{9D0FE006-E66A-41E9-B25D-2287ED347A8C}" name="Atividade" dataDxfId="168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5FC57E6-CA00-400E-AC13-0E02326E52B6}" name="Tabela9" displayName="Tabela9" ref="B8:B11" totalsRowShown="0" headerRowDxfId="167" dataDxfId="166">
  <tableColumns count="1">
    <tableColumn id="1" xr3:uid="{2403CAF1-20B3-4702-98AE-061E5C0AE2E8}" name="Objetivos Estratégicos" dataDxfId="165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227424D-A674-48C4-9323-F2926CECD29D}" name="Tabela10" displayName="Tabela10" ref="B8:M10" totalsRowShown="0" headerRowDxfId="158" dataDxfId="157">
  <tableColumns count="12">
    <tableColumn id="1" xr3:uid="{AC946D85-85A0-4BE1-9422-9376F2F0B537}" name="ID" dataDxfId="156"/>
    <tableColumn id="13" xr3:uid="{F48A1103-723A-4F35-ADA0-E4A07DE4E34C}" name="Objetivo Estratégico Associado" dataDxfId="155"/>
    <tableColumn id="2" xr3:uid="{BDD53912-83AE-49D7-B6F7-A85690EC0431}" name="Meta" dataDxfId="154"/>
    <tableColumn id="11" xr3:uid="{4FA2FBA5-89E5-48D1-B99F-E299B6C2F93E}" name="Detalhamento" dataDxfId="153"/>
    <tableColumn id="9" xr3:uid="{26880165-74FC-4328-893D-6E9B97DEDF90}" name="Indicador" dataDxfId="152"/>
    <tableColumn id="10" xr3:uid="{457D333C-FA4A-4603-9FFE-BA0ABC26CE05}" name="Prazo" dataDxfId="151"/>
    <tableColumn id="3" xr3:uid="{06DA24BF-0098-417B-A2F5-B2D4E5652D60}" name="éEspecífica?" dataDxfId="150"/>
    <tableColumn id="4" xr3:uid="{BD76D538-8407-46AB-A075-9AFFD328FE8C}" name="éMensurável?" dataDxfId="149"/>
    <tableColumn id="5" xr3:uid="{FC2A778C-A049-4E17-B23F-1FA014A13B1B}" name="éAlcançavel?" dataDxfId="148"/>
    <tableColumn id="6" xr3:uid="{E2574000-A026-43D1-BFF1-5714BB34F99B}" name="éRealista?" dataDxfId="147"/>
    <tableColumn id="7" xr3:uid="{6F4607DB-2F83-45E7-8E53-684216BC4F8F}" name="éTemporal?" dataDxfId="146"/>
    <tableColumn id="8" xr3:uid="{E45CF6BD-FE27-4DB1-AA09-DFBAF40638D2}" name="éSMART" dataDxfId="145">
      <calculatedColumnFormula>IF(AND(H9="Sim",I9="Sim",J9="Sim",K9="Sim",L9="Sim"),"Sim","Não")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0478C62-D398-47DA-8303-FA297A66547A}" name="Tabela8" displayName="Tabela8" ref="B8:J13" totalsRowShown="0" headerRowDxfId="139">
  <tableColumns count="9">
    <tableColumn id="1" xr3:uid="{E08AAE49-CA95-48C1-94BA-C506D60DCDC3}" name="ID" dataDxfId="138"/>
    <tableColumn id="2" xr3:uid="{D937AC56-DB38-45F6-A166-6C1FF00FC69B}" name="Meta" dataDxfId="137"/>
    <tableColumn id="3" xr3:uid="{08B9A993-997D-41CD-96EA-AD6E97AC536E}" name="Direção" dataDxfId="136"/>
    <tableColumn id="4" xr3:uid="{15639FA4-585D-420B-BECD-E07FC90E68E8}" name="Início" dataDxfId="135"/>
    <tableColumn id="5" xr3:uid="{7C14BF32-9305-497D-A70F-E03E443E77E4}" name="Prazo (em meses)" dataDxfId="134"/>
    <tableColumn id="6" xr3:uid="{FF3B0F31-4897-4438-BD4E-2DAEB1B46FE7}" name="Categoria a ser contabilizada" dataDxfId="133"/>
    <tableColumn id="7" xr3:uid="{BFF661B0-771D-426F-BE00-ACC1CE4671D6}" name="Objetivo a ser atingido" dataDxfId="132"/>
    <tableColumn id="8" xr3:uid="{2BB80466-7AE7-42DA-AAE3-35DF8F45E96E}" name="Resultado Atual" dataDxfId="131"/>
    <tableColumn id="9" xr3:uid="{A508B0A0-2C91-412B-B813-E2DFF9ECDEAA}" name="Status" dataDxfId="130">
      <calculatedColumnFormula>IF(I9&lt;H9,"Abaixo da meta",IF(H9=I9,"Meta atingida","Meta superada"))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6FD5F0-F9C8-4A96-A3F0-700166769FC1}" name="Tabela5" displayName="Tabela5" ref="A8:T30" totalsRowShown="0" dataDxfId="122" headerRowBorderDxfId="123" tableBorderDxfId="121" dataCellStyle="Moeda">
  <autoFilter ref="A8:T30" xr:uid="{9BB6E701-9440-4314-8402-3BF7B5E62B69}"/>
  <tableColumns count="20">
    <tableColumn id="1" xr3:uid="{C4982322-F58D-4565-8302-2D943CD0B5FA}" name="Numeração" dataDxfId="120" totalsRowDxfId="119"/>
    <tableColumn id="20" xr3:uid="{71941FF8-46DE-4AB8-9E50-D8149A891174}" name="Meta" dataDxfId="118" totalsRowDxfId="117"/>
    <tableColumn id="2" xr3:uid="{657FD9D4-B5AB-4F35-8166-313EBFF8ADBE}" name="Atividade" dataDxfId="116" totalsRowDxfId="115"/>
    <tableColumn id="3" xr3:uid="{D78BFA17-0F15-4651-8B34-C39CD605F1EA}" name="Prioridade" dataDxfId="114" totalsRowDxfId="113"/>
    <tableColumn id="4" xr3:uid="{024428F1-8234-4C0C-AA3E-B973E9FEFBA5}" name="What - O que será feito?" dataDxfId="112" totalsRowDxfId="111"/>
    <tableColumn id="5" xr3:uid="{C0DC697D-5A3E-4687-9844-81C77FB07924}" name="Why - Por que será feito?" dataDxfId="110" totalsRowDxfId="109"/>
    <tableColumn id="6" xr3:uid="{ABA18E80-DA5E-45A8-B704-C036D0E79EE5}" name="Who - Por quem será feito?" dataDxfId="108" totalsRowDxfId="107"/>
    <tableColumn id="7" xr3:uid="{FA4E1439-4C7C-4C77-8296-76626AADC893}" name="Comissão" dataDxfId="106" totalsRowDxfId="105"/>
    <tableColumn id="8" xr3:uid="{1A21B478-25A1-49A4-B17A-E13C773C7272}" name="When - Data de início" dataDxfId="104" totalsRowDxfId="103"/>
    <tableColumn id="19" xr3:uid="{CC95E0FB-72A4-4C00-9E75-42CEF4F34C71}" name="Mês" dataDxfId="102" totalsRowDxfId="101">
      <calculatedColumnFormula>MONTH(Tabela5[[#This Row],[When - Data de início]])</calculatedColumnFormula>
    </tableColumn>
    <tableColumn id="9" xr3:uid="{4A40C514-2F22-4300-A21C-7C82666CCBAC}" name="Prazo (Dias)" dataDxfId="100" totalsRowDxfId="99">
      <calculatedColumnFormula>DATEDIF(I9,L9,"d")</calculatedColumnFormula>
    </tableColumn>
    <tableColumn id="10" xr3:uid="{0C012768-3CF2-42FE-A881-3C0DD2DCFDA2}" name="Fim Planejado" dataDxfId="98" totalsRowDxfId="97"/>
    <tableColumn id="11" xr3:uid="{31E98658-4E0A-4EE4-8183-C1F14053635C}" name="Fim Realizado" dataDxfId="96" totalsRowDxfId="95"/>
    <tableColumn id="12" xr3:uid="{2AA82BA2-0D12-4C8D-876C-21DAFA84FC3D}" name="Diferença" dataDxfId="94" totalsRowDxfId="93">
      <calculatedColumnFormula>IFERROR((DATEDIF(M9,L9,"d")),(DATEDIF(L9,M9,"d"))*(-1))</calculatedColumnFormula>
    </tableColumn>
    <tableColumn id="13" xr3:uid="{D1A1FCF3-BEB1-4F0B-B298-7B0BD01234EE}" name="Where - Onde?" dataDxfId="92" totalsRowDxfId="91"/>
    <tableColumn id="14" xr3:uid="{573EA758-250F-4C77-B216-8548DAEF4A87}" name="How - Como será feito?" dataDxfId="90" totalsRowDxfId="89"/>
    <tableColumn id="15" xr3:uid="{F5DDF347-A4B3-4C51-A016-28E57125E6D5}" name="How much - Valor Previsto" dataDxfId="88" totalsRowDxfId="87" dataCellStyle="Moeda" totalsRowCellStyle="Moeda"/>
    <tableColumn id="16" xr3:uid="{0C7243E6-80C3-44C2-B4E6-3D3A9FA163A5}" name="Valor Real" dataDxfId="86" totalsRowDxfId="85" dataCellStyle="Moeda" totalsRowCellStyle="Moeda"/>
    <tableColumn id="17" xr3:uid="{850EE8E8-1B1C-461D-ABE6-F919D6955A63}" name="Diferença2" dataDxfId="84" totalsRowDxfId="83" dataCellStyle="Moeda" totalsRowCellStyle="Moeda">
      <calculatedColumnFormula>Q9-R9</calculatedColumnFormula>
    </tableColumn>
    <tableColumn id="18" xr3:uid="{4E3FAC4F-65EA-44D7-93AA-60161D8A4084}" name="Status" dataDxfId="82" totalsRowDxfId="81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BD25472-DCEC-4AF9-8657-B4EE3B357888}" name="Tabela6" displayName="Tabela6" ref="B8:E11" totalsRowShown="0" headerRowDxfId="77">
  <autoFilter ref="B8:E11" xr:uid="{31B9CD9C-5B94-49F2-9F59-FD4E940F45B8}"/>
  <tableColumns count="4">
    <tableColumn id="1" xr3:uid="{8AD9863C-817D-4C13-9FB2-1544CAFDB3A1}" name="Atividade" dataDxfId="76"/>
    <tableColumn id="2" xr3:uid="{DB33D9E3-7DEB-43B2-BFAE-4121C5C9165D}" name="Quantidade de Ações" dataDxfId="75">
      <calculatedColumnFormula>COUNTIF(Tabela5[Atividade],Acompanhamento!B9)</calculatedColumnFormula>
    </tableColumn>
    <tableColumn id="3" xr3:uid="{8B50AB48-1C49-4301-A8ED-6484BEF87325}" name="Ações Realizadas" dataDxfId="74">
      <calculatedColumnFormula>COUNTIFS(Tabela5[Atividade],Acompanhamento!B9,Tabela5[Status],"Realizada")</calculatedColumnFormula>
    </tableColumn>
    <tableColumn id="4" xr3:uid="{6A9D07E6-382F-474D-B966-018C93068E64}" name="%Concluído" dataDxfId="73" dataCellStyle="Porcentagem">
      <calculatedColumnFormula>D9/C9</calculatedColumnFormula>
    </tableColumn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B7040CC-FE41-47EF-AA27-1A88147121C4}" name="Tabela7" displayName="Tabela7" ref="B11:J16" totalsRowShown="0" headerRowDxfId="10" dataDxfId="9">
  <tableColumns count="9">
    <tableColumn id="1" xr3:uid="{45909AF5-F97C-4A3B-A69E-D46292BD1918}" name="ID" dataDxfId="8"/>
    <tableColumn id="2" xr3:uid="{32A17BC7-3492-4A2E-A8A5-003D898EAE89}" name="Atividade" dataDxfId="7"/>
    <tableColumn id="3" xr3:uid="{B839B0C3-76FF-47B5-9495-35D7CC703827}" name="Planejamento" dataDxfId="6"/>
    <tableColumn id="4" xr3:uid="{2E93DB77-ACEC-4B49-BFC7-42A7874E3D2C}" name="Distribuição de Atividades" dataDxfId="5"/>
    <tableColumn id="5" xr3:uid="{B7053218-F1C4-4ED1-AFFA-3C2E896A4867}" name="Motivação" dataDxfId="4"/>
    <tableColumn id="6" xr3:uid="{CD893180-7067-4F14-A650-1321FE13E630}" name="Empenho dos Membros" dataDxfId="3"/>
    <tableColumn id="7" xr3:uid="{70A7BAF4-11B0-4566-BD88-EF32FE438770}" name="Resultados Entregues" dataDxfId="2"/>
    <tableColumn id="8" xr3:uid="{DB9D458D-873C-44CF-A7F4-BDB30EEE4B5D}" name="Melhoria contínua" dataDxfId="1"/>
    <tableColumn id="9" xr3:uid="{FE13F0C3-BF04-4022-ADCF-219C33DEE9EF}" name="Média da Avaliação" dataDxfId="0">
      <calculatedColumnFormula>AVERAGE(D12:I12)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ariabeatrizm29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1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C97CF-5B8B-49DB-B01D-FE895F5E944C}">
  <sheetPr codeName="Planilha11"/>
  <dimension ref="A1:U26"/>
  <sheetViews>
    <sheetView showGridLines="0" showRowColHeaders="0" workbookViewId="0"/>
  </sheetViews>
  <sheetFormatPr defaultColWidth="0" defaultRowHeight="15" zeroHeight="1" x14ac:dyDescent="0.25"/>
  <cols>
    <col min="1" max="21" width="9.140625" style="59" customWidth="1"/>
    <col min="22" max="16384" width="9.140625" style="59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183FA-693E-4889-A789-191EDCC0A30E}">
  <sheetPr codeName="Planilha1">
    <tabColor theme="9"/>
  </sheetPr>
  <dimension ref="A1:A20"/>
  <sheetViews>
    <sheetView showGridLines="0" showRowColHeaders="0" zoomScaleNormal="100" workbookViewId="0"/>
  </sheetViews>
  <sheetFormatPr defaultColWidth="9.140625" defaultRowHeight="15" zeroHeight="1" x14ac:dyDescent="0.25"/>
  <cols>
    <col min="1" max="20" width="9.140625" customWidth="1"/>
    <col min="21" max="16382" width="0" hidden="1" customWidth="1"/>
    <col min="16383" max="16383" width="9.140625" customWidth="1"/>
  </cols>
  <sheetData>
    <row r="1" s="1" customFormat="1" x14ac:dyDescent="0.25"/>
    <row r="2" s="1" customFormat="1" x14ac:dyDescent="0.25"/>
    <row r="3" s="1" customFormat="1" x14ac:dyDescent="0.25"/>
    <row r="4" s="2" customFormat="1" x14ac:dyDescent="0.25"/>
    <row r="5" s="2" customFormat="1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8E869-F678-4126-B947-44696BDD0F8A}">
  <sheetPr codeName="Planilha2">
    <tabColor theme="9"/>
  </sheetPr>
  <dimension ref="B1:G40"/>
  <sheetViews>
    <sheetView showGridLines="0" showRowColHeaders="0" workbookViewId="0">
      <pane xSplit="6" ySplit="8" topLeftCell="XFD9" activePane="bottomRight" state="frozen"/>
      <selection pane="topRight" activeCell="G1" sqref="G1"/>
      <selection pane="bottomLeft" activeCell="A9" sqref="A9"/>
      <selection pane="bottomRight"/>
    </sheetView>
  </sheetViews>
  <sheetFormatPr defaultColWidth="9.140625" defaultRowHeight="15" zeroHeight="1" x14ac:dyDescent="0.2"/>
  <cols>
    <col min="1" max="1" width="9.140625" style="3" customWidth="1"/>
    <col min="2" max="2" width="42.140625" style="3" customWidth="1"/>
    <col min="3" max="3" width="28.7109375" style="10" customWidth="1"/>
    <col min="4" max="4" width="28.28515625" style="13" customWidth="1"/>
    <col min="5" max="5" width="59.140625" style="12" customWidth="1"/>
    <col min="6" max="6" width="18.28515625" style="3" customWidth="1"/>
    <col min="7" max="7" width="9.140625" style="3" hidden="1" customWidth="1"/>
    <col min="8" max="16383" width="0" style="3" hidden="1" customWidth="1"/>
    <col min="16384" max="16384" width="9.140625" style="3"/>
  </cols>
  <sheetData>
    <row r="1" spans="2:5" s="1" customFormat="1" x14ac:dyDescent="0.25"/>
    <row r="2" spans="2:5" s="1" customFormat="1" x14ac:dyDescent="0.25"/>
    <row r="3" spans="2:5" s="1" customFormat="1" x14ac:dyDescent="0.25"/>
    <row r="4" spans="2:5" s="2" customFormat="1" x14ac:dyDescent="0.25"/>
    <row r="5" spans="2:5" s="2" customFormat="1" x14ac:dyDescent="0.25"/>
    <row r="6" spans="2:5" x14ac:dyDescent="0.2"/>
    <row r="7" spans="2:5" x14ac:dyDescent="0.2"/>
    <row r="8" spans="2:5" s="4" customFormat="1" x14ac:dyDescent="0.2">
      <c r="B8" s="6" t="s">
        <v>0</v>
      </c>
      <c r="C8" s="6" t="s">
        <v>1</v>
      </c>
      <c r="D8" s="14" t="s">
        <v>2</v>
      </c>
      <c r="E8" s="6" t="s">
        <v>3</v>
      </c>
    </row>
    <row r="9" spans="2:5" x14ac:dyDescent="0.2">
      <c r="B9" s="3" t="s">
        <v>9</v>
      </c>
      <c r="C9" s="9" t="s">
        <v>7</v>
      </c>
      <c r="D9" s="13">
        <v>987584099</v>
      </c>
      <c r="E9" s="11" t="s">
        <v>10</v>
      </c>
    </row>
    <row r="10" spans="2:5" x14ac:dyDescent="0.2">
      <c r="B10" s="3" t="s">
        <v>11</v>
      </c>
      <c r="C10" s="10" t="s">
        <v>5</v>
      </c>
      <c r="E10" s="11"/>
    </row>
    <row r="11" spans="2:5" x14ac:dyDescent="0.2">
      <c r="B11" s="3" t="s">
        <v>12</v>
      </c>
      <c r="C11" s="10" t="s">
        <v>8</v>
      </c>
      <c r="E11" s="11"/>
    </row>
    <row r="12" spans="2:5" x14ac:dyDescent="0.2">
      <c r="B12" s="3" t="s">
        <v>13</v>
      </c>
      <c r="C12" s="10" t="s">
        <v>4</v>
      </c>
      <c r="E12" s="11"/>
    </row>
    <row r="13" spans="2:5" x14ac:dyDescent="0.2">
      <c r="B13" s="3" t="s">
        <v>32</v>
      </c>
      <c r="C13" s="10" t="s">
        <v>5</v>
      </c>
      <c r="E13" s="11"/>
    </row>
    <row r="14" spans="2:5" x14ac:dyDescent="0.2"/>
    <row r="15" spans="2:5" x14ac:dyDescent="0.2"/>
    <row r="16" spans="2:5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</sheetData>
  <dataValidations count="1">
    <dataValidation type="list" allowBlank="1" showInputMessage="1" showErrorMessage="1" sqref="C9:C13" xr:uid="{32060FE8-BF3F-4747-9A9E-0034E8C0DEE4}">
      <formula1>Comissoes</formula1>
    </dataValidation>
  </dataValidations>
  <hyperlinks>
    <hyperlink ref="E9" r:id="rId1" xr:uid="{17929BF7-AD59-42D7-B1BC-E35B6B592A6A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166B3-6793-45A5-A268-5484BB4DF961}">
  <sheetPr codeName="Planilha3">
    <tabColor theme="9"/>
  </sheetPr>
  <dimension ref="A1:S20"/>
  <sheetViews>
    <sheetView showGridLines="0" showRowColHeaders="0" workbookViewId="0">
      <pane ySplit="8" topLeftCell="A9" activePane="bottomLeft" state="frozen"/>
      <selection pane="bottomLeft"/>
    </sheetView>
  </sheetViews>
  <sheetFormatPr defaultColWidth="0" defaultRowHeight="15" zeroHeight="1" x14ac:dyDescent="0.2"/>
  <cols>
    <col min="1" max="1" width="9.140625" style="3" customWidth="1"/>
    <col min="2" max="2" width="34.7109375" style="3" customWidth="1"/>
    <col min="3" max="16" width="9.140625" style="3" customWidth="1"/>
    <col min="17" max="17" width="16.42578125" style="3" customWidth="1"/>
    <col min="18" max="19" width="9.140625" style="3" customWidth="1"/>
    <col min="20" max="16384" width="9.140625" style="3" hidden="1"/>
  </cols>
  <sheetData>
    <row r="1" spans="2:5" s="1" customFormat="1" x14ac:dyDescent="0.25"/>
    <row r="2" spans="2:5" s="1" customFormat="1" x14ac:dyDescent="0.25"/>
    <row r="3" spans="2:5" s="1" customFormat="1" x14ac:dyDescent="0.25"/>
    <row r="4" spans="2:5" s="2" customFormat="1" x14ac:dyDescent="0.25"/>
    <row r="5" spans="2:5" s="2" customFormat="1" x14ac:dyDescent="0.25"/>
    <row r="6" spans="2:5" x14ac:dyDescent="0.2"/>
    <row r="7" spans="2:5" x14ac:dyDescent="0.2"/>
    <row r="8" spans="2:5" x14ac:dyDescent="0.2">
      <c r="B8" s="7" t="s">
        <v>6</v>
      </c>
      <c r="E8" s="5"/>
    </row>
    <row r="9" spans="2:5" x14ac:dyDescent="0.2">
      <c r="B9" s="3" t="s">
        <v>7</v>
      </c>
    </row>
    <row r="10" spans="2:5" x14ac:dyDescent="0.2">
      <c r="B10" s="3" t="s">
        <v>8</v>
      </c>
    </row>
    <row r="11" spans="2:5" x14ac:dyDescent="0.2">
      <c r="B11" s="3" t="s">
        <v>4</v>
      </c>
    </row>
    <row r="12" spans="2:5" x14ac:dyDescent="0.2">
      <c r="B12" s="3" t="s">
        <v>5</v>
      </c>
    </row>
    <row r="13" spans="2:5" x14ac:dyDescent="0.2"/>
    <row r="14" spans="2:5" x14ac:dyDescent="0.2"/>
    <row r="15" spans="2:5" x14ac:dyDescent="0.2"/>
    <row r="16" spans="2:5" x14ac:dyDescent="0.2"/>
    <row r="17" x14ac:dyDescent="0.2"/>
    <row r="18" x14ac:dyDescent="0.2"/>
    <row r="19" x14ac:dyDescent="0.2"/>
    <row r="20" x14ac:dyDescent="0.2"/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24A95-EB38-4C43-96F7-A9A194A29E49}">
  <sheetPr codeName="Planilha4">
    <tabColor theme="9"/>
  </sheetPr>
  <dimension ref="A1:R40"/>
  <sheetViews>
    <sheetView showGridLines="0" showRowColHeaders="0" workbookViewId="0">
      <pane ySplit="8" topLeftCell="A9" activePane="bottomLeft" state="frozen"/>
      <selection pane="bottomLeft"/>
    </sheetView>
  </sheetViews>
  <sheetFormatPr defaultColWidth="0" defaultRowHeight="15" zeroHeight="1" x14ac:dyDescent="0.2"/>
  <cols>
    <col min="1" max="1" width="9.140625" style="3" customWidth="1"/>
    <col min="2" max="2" width="49.7109375" style="3" customWidth="1"/>
    <col min="3" max="15" width="9.140625" style="3" customWidth="1"/>
    <col min="16" max="16" width="9.28515625" style="3" customWidth="1"/>
    <col min="17" max="18" width="9.140625" style="3" customWidth="1"/>
    <col min="19" max="16384" width="9.140625" style="3" hidden="1"/>
  </cols>
  <sheetData>
    <row r="1" spans="2:2" s="1" customFormat="1" x14ac:dyDescent="0.25"/>
    <row r="2" spans="2:2" s="1" customFormat="1" x14ac:dyDescent="0.25"/>
    <row r="3" spans="2:2" s="1" customFormat="1" x14ac:dyDescent="0.25"/>
    <row r="4" spans="2:2" s="2" customFormat="1" x14ac:dyDescent="0.25"/>
    <row r="5" spans="2:2" s="2" customFormat="1" x14ac:dyDescent="0.25"/>
    <row r="6" spans="2:2" x14ac:dyDescent="0.2"/>
    <row r="7" spans="2:2" x14ac:dyDescent="0.2"/>
    <row r="8" spans="2:2" x14ac:dyDescent="0.2">
      <c r="B8" s="8" t="s">
        <v>14</v>
      </c>
    </row>
    <row r="9" spans="2:2" x14ac:dyDescent="0.2">
      <c r="B9" s="3" t="s">
        <v>15</v>
      </c>
    </row>
    <row r="10" spans="2:2" x14ac:dyDescent="0.2">
      <c r="B10" s="3" t="s">
        <v>16</v>
      </c>
    </row>
    <row r="11" spans="2:2" x14ac:dyDescent="0.2">
      <c r="B11" s="3" t="s">
        <v>17</v>
      </c>
    </row>
    <row r="12" spans="2:2" x14ac:dyDescent="0.2"/>
    <row r="13" spans="2:2" x14ac:dyDescent="0.2"/>
    <row r="14" spans="2:2" x14ac:dyDescent="0.2"/>
    <row r="15" spans="2:2" x14ac:dyDescent="0.2"/>
    <row r="16" spans="2:2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86028-F3B2-423C-9543-3E2EA6CB1594}">
  <sheetPr codeName="Planilha17">
    <tabColor theme="9"/>
  </sheetPr>
  <dimension ref="A1:R42"/>
  <sheetViews>
    <sheetView showGridLines="0" showRowColHeaders="0" workbookViewId="0">
      <pane ySplit="5" topLeftCell="A6" activePane="bottomLeft" state="frozen"/>
      <selection pane="bottomLeft"/>
    </sheetView>
  </sheetViews>
  <sheetFormatPr defaultColWidth="0" defaultRowHeight="15" zeroHeight="1" x14ac:dyDescent="0.2"/>
  <cols>
    <col min="1" max="1" width="9.140625" style="37" customWidth="1"/>
    <col min="2" max="2" width="17.85546875" style="37" customWidth="1"/>
    <col min="3" max="3" width="13.42578125" style="37" customWidth="1"/>
    <col min="4" max="4" width="20" style="37" customWidth="1"/>
    <col min="5" max="5" width="11.85546875" style="37" customWidth="1"/>
    <col min="6" max="6" width="9.140625" style="37" customWidth="1"/>
    <col min="7" max="7" width="10.42578125" style="37" customWidth="1"/>
    <col min="8" max="8" width="20" style="37" customWidth="1"/>
    <col min="9" max="9" width="11.85546875" style="37" customWidth="1"/>
    <col min="10" max="10" width="11.7109375" style="37" customWidth="1"/>
    <col min="11" max="18" width="9.140625" style="37" customWidth="1"/>
    <col min="19" max="16384" width="9.140625" style="37" hidden="1"/>
  </cols>
  <sheetData>
    <row r="1" spans="2:11" s="83" customFormat="1" x14ac:dyDescent="0.2"/>
    <row r="2" spans="2:11" s="83" customFormat="1" x14ac:dyDescent="0.2"/>
    <row r="3" spans="2:11" s="83" customFormat="1" x14ac:dyDescent="0.2"/>
    <row r="4" spans="2:11" s="63" customFormat="1" x14ac:dyDescent="0.2"/>
    <row r="5" spans="2:11" s="63" customFormat="1" x14ac:dyDescent="0.2"/>
    <row r="6" spans="2:11" x14ac:dyDescent="0.2"/>
    <row r="7" spans="2:11" ht="14.25" customHeight="1" thickBot="1" x14ac:dyDescent="0.25"/>
    <row r="8" spans="2:11" s="90" customFormat="1" ht="36" customHeight="1" thickBot="1" x14ac:dyDescent="0.3">
      <c r="D8" s="94" t="s">
        <v>185</v>
      </c>
      <c r="E8" s="95">
        <v>2020</v>
      </c>
      <c r="H8" s="94" t="s">
        <v>186</v>
      </c>
      <c r="I8" s="95">
        <v>2021</v>
      </c>
    </row>
    <row r="9" spans="2:11" ht="15.75" thickBot="1" x14ac:dyDescent="0.25"/>
    <row r="10" spans="2:11" s="97" customFormat="1" ht="36.75" customHeight="1" thickBot="1" x14ac:dyDescent="0.3">
      <c r="B10" s="98" t="s">
        <v>187</v>
      </c>
      <c r="C10" s="117" t="s">
        <v>190</v>
      </c>
      <c r="D10" s="117"/>
      <c r="E10" s="117"/>
      <c r="F10" s="117"/>
      <c r="G10" s="117"/>
      <c r="H10" s="117"/>
      <c r="I10" s="117"/>
      <c r="J10" s="117"/>
      <c r="K10" s="118"/>
    </row>
    <row r="11" spans="2:11" s="101" customFormat="1" ht="3" customHeight="1" thickBot="1" x14ac:dyDescent="0.3">
      <c r="B11" s="99"/>
      <c r="C11" s="100"/>
      <c r="D11" s="100"/>
      <c r="E11" s="100"/>
      <c r="F11" s="100"/>
      <c r="G11" s="100"/>
      <c r="H11" s="100"/>
      <c r="I11" s="100"/>
      <c r="J11" s="100"/>
      <c r="K11" s="100"/>
    </row>
    <row r="12" spans="2:11" s="97" customFormat="1" ht="37.5" customHeight="1" thickBot="1" x14ac:dyDescent="0.3">
      <c r="B12" s="98" t="s">
        <v>188</v>
      </c>
      <c r="C12" s="117" t="s">
        <v>191</v>
      </c>
      <c r="D12" s="117"/>
      <c r="E12" s="117"/>
      <c r="F12" s="117"/>
      <c r="G12" s="117"/>
      <c r="H12" s="117"/>
      <c r="I12" s="117"/>
      <c r="J12" s="117"/>
      <c r="K12" s="118"/>
    </row>
    <row r="13" spans="2:11" s="102" customFormat="1" ht="3.75" customHeight="1" thickBot="1" x14ac:dyDescent="0.3">
      <c r="B13" s="99"/>
      <c r="C13" s="100"/>
      <c r="D13" s="100"/>
      <c r="E13" s="100"/>
      <c r="F13" s="100"/>
      <c r="G13" s="100"/>
      <c r="H13" s="100"/>
      <c r="I13" s="100"/>
      <c r="J13" s="100"/>
      <c r="K13" s="100"/>
    </row>
    <row r="14" spans="2:11" ht="37.5" customHeight="1" thickBot="1" x14ac:dyDescent="0.25">
      <c r="B14" s="119" t="s">
        <v>189</v>
      </c>
      <c r="C14" s="120"/>
      <c r="D14" s="120"/>
      <c r="E14" s="120"/>
      <c r="F14" s="120"/>
      <c r="G14" s="120"/>
      <c r="H14" s="120"/>
      <c r="I14" s="120"/>
      <c r="J14" s="120"/>
      <c r="K14" s="121"/>
    </row>
    <row r="15" spans="2:11" x14ac:dyDescent="0.2">
      <c r="B15" s="122"/>
      <c r="C15" s="123"/>
      <c r="D15" s="123"/>
      <c r="E15" s="123"/>
      <c r="F15" s="123"/>
      <c r="G15" s="123"/>
      <c r="H15" s="123"/>
      <c r="I15" s="123"/>
      <c r="J15" s="123"/>
      <c r="K15" s="124"/>
    </row>
    <row r="16" spans="2:11" ht="15.75" thickBot="1" x14ac:dyDescent="0.25">
      <c r="B16" s="125"/>
      <c r="C16" s="126"/>
      <c r="D16" s="126"/>
      <c r="E16" s="126"/>
      <c r="F16" s="126"/>
      <c r="G16" s="126"/>
      <c r="H16" s="126"/>
      <c r="I16" s="126"/>
      <c r="J16" s="126"/>
      <c r="K16" s="127"/>
    </row>
    <row r="17" spans="2:11" x14ac:dyDescent="0.2">
      <c r="B17" s="111"/>
      <c r="C17" s="112"/>
      <c r="D17" s="112"/>
      <c r="E17" s="112"/>
      <c r="F17" s="112"/>
      <c r="G17" s="112"/>
      <c r="H17" s="112"/>
      <c r="I17" s="112"/>
      <c r="J17" s="112"/>
      <c r="K17" s="113"/>
    </row>
    <row r="18" spans="2:11" ht="15.75" thickBot="1" x14ac:dyDescent="0.25">
      <c r="B18" s="114"/>
      <c r="C18" s="115"/>
      <c r="D18" s="115"/>
      <c r="E18" s="115"/>
      <c r="F18" s="115"/>
      <c r="G18" s="115"/>
      <c r="H18" s="115"/>
      <c r="I18" s="115"/>
      <c r="J18" s="115"/>
      <c r="K18" s="116"/>
    </row>
    <row r="19" spans="2:11" x14ac:dyDescent="0.2">
      <c r="B19" s="111"/>
      <c r="C19" s="112"/>
      <c r="D19" s="112"/>
      <c r="E19" s="112"/>
      <c r="F19" s="112"/>
      <c r="G19" s="112"/>
      <c r="H19" s="112"/>
      <c r="I19" s="112"/>
      <c r="J19" s="112"/>
      <c r="K19" s="113"/>
    </row>
    <row r="20" spans="2:11" ht="15.75" thickBot="1" x14ac:dyDescent="0.25">
      <c r="B20" s="114"/>
      <c r="C20" s="115"/>
      <c r="D20" s="115"/>
      <c r="E20" s="115"/>
      <c r="F20" s="115"/>
      <c r="G20" s="115"/>
      <c r="H20" s="115"/>
      <c r="I20" s="115"/>
      <c r="J20" s="115"/>
      <c r="K20" s="116"/>
    </row>
    <row r="21" spans="2:11" x14ac:dyDescent="0.2">
      <c r="B21" s="111"/>
      <c r="C21" s="112"/>
      <c r="D21" s="112"/>
      <c r="E21" s="112"/>
      <c r="F21" s="112"/>
      <c r="G21" s="112"/>
      <c r="H21" s="112"/>
      <c r="I21" s="112"/>
      <c r="J21" s="112"/>
      <c r="K21" s="113"/>
    </row>
    <row r="22" spans="2:11" ht="15.75" thickBot="1" x14ac:dyDescent="0.25">
      <c r="B22" s="114"/>
      <c r="C22" s="115"/>
      <c r="D22" s="115"/>
      <c r="E22" s="115"/>
      <c r="F22" s="115"/>
      <c r="G22" s="115"/>
      <c r="H22" s="115"/>
      <c r="I22" s="115"/>
      <c r="J22" s="115"/>
      <c r="K22" s="116"/>
    </row>
    <row r="23" spans="2:11" x14ac:dyDescent="0.2">
      <c r="B23" s="111"/>
      <c r="C23" s="112"/>
      <c r="D23" s="112"/>
      <c r="E23" s="112"/>
      <c r="F23" s="112"/>
      <c r="G23" s="112"/>
      <c r="H23" s="112"/>
      <c r="I23" s="112"/>
      <c r="J23" s="112"/>
      <c r="K23" s="113"/>
    </row>
    <row r="24" spans="2:11" ht="15.75" thickBot="1" x14ac:dyDescent="0.25">
      <c r="B24" s="114"/>
      <c r="C24" s="115"/>
      <c r="D24" s="115"/>
      <c r="E24" s="115"/>
      <c r="F24" s="115"/>
      <c r="G24" s="115"/>
      <c r="H24" s="115"/>
      <c r="I24" s="115"/>
      <c r="J24" s="115"/>
      <c r="K24" s="116"/>
    </row>
    <row r="25" spans="2:11" x14ac:dyDescent="0.2">
      <c r="B25" s="111"/>
      <c r="C25" s="112"/>
      <c r="D25" s="112"/>
      <c r="E25" s="112"/>
      <c r="F25" s="112"/>
      <c r="G25" s="112"/>
      <c r="H25" s="112"/>
      <c r="I25" s="112"/>
      <c r="J25" s="112"/>
      <c r="K25" s="113"/>
    </row>
    <row r="26" spans="2:11" ht="15.75" thickBot="1" x14ac:dyDescent="0.25">
      <c r="B26" s="114"/>
      <c r="C26" s="115"/>
      <c r="D26" s="115"/>
      <c r="E26" s="115"/>
      <c r="F26" s="115"/>
      <c r="G26" s="115"/>
      <c r="H26" s="115"/>
      <c r="I26" s="115"/>
      <c r="J26" s="115"/>
      <c r="K26" s="116"/>
    </row>
    <row r="27" spans="2:11" x14ac:dyDescent="0.2">
      <c r="B27" s="111"/>
      <c r="C27" s="112"/>
      <c r="D27" s="112"/>
      <c r="E27" s="112"/>
      <c r="F27" s="112"/>
      <c r="G27" s="112"/>
      <c r="H27" s="112"/>
      <c r="I27" s="112"/>
      <c r="J27" s="112"/>
      <c r="K27" s="113"/>
    </row>
    <row r="28" spans="2:11" ht="15.75" thickBot="1" x14ac:dyDescent="0.25">
      <c r="B28" s="114"/>
      <c r="C28" s="115"/>
      <c r="D28" s="115"/>
      <c r="E28" s="115"/>
      <c r="F28" s="115"/>
      <c r="G28" s="115"/>
      <c r="H28" s="115"/>
      <c r="I28" s="115"/>
      <c r="J28" s="115"/>
      <c r="K28" s="116"/>
    </row>
    <row r="29" spans="2:11" x14ac:dyDescent="0.2">
      <c r="B29" s="111"/>
      <c r="C29" s="112"/>
      <c r="D29" s="112"/>
      <c r="E29" s="112"/>
      <c r="F29" s="112"/>
      <c r="G29" s="112"/>
      <c r="H29" s="112"/>
      <c r="I29" s="112"/>
      <c r="J29" s="112"/>
      <c r="K29" s="113"/>
    </row>
    <row r="30" spans="2:11" ht="15.75" thickBot="1" x14ac:dyDescent="0.25">
      <c r="B30" s="114"/>
      <c r="C30" s="115"/>
      <c r="D30" s="115"/>
      <c r="E30" s="115"/>
      <c r="F30" s="115"/>
      <c r="G30" s="115"/>
      <c r="H30" s="115"/>
      <c r="I30" s="115"/>
      <c r="J30" s="115"/>
      <c r="K30" s="116"/>
    </row>
    <row r="31" spans="2:11" x14ac:dyDescent="0.2">
      <c r="B31" s="111"/>
      <c r="C31" s="112"/>
      <c r="D31" s="112"/>
      <c r="E31" s="112"/>
      <c r="F31" s="112"/>
      <c r="G31" s="112"/>
      <c r="H31" s="112"/>
      <c r="I31" s="112"/>
      <c r="J31" s="112"/>
      <c r="K31" s="113"/>
    </row>
    <row r="32" spans="2:11" ht="15.75" thickBot="1" x14ac:dyDescent="0.25">
      <c r="B32" s="114"/>
      <c r="C32" s="115"/>
      <c r="D32" s="115"/>
      <c r="E32" s="115"/>
      <c r="F32" s="115"/>
      <c r="G32" s="115"/>
      <c r="H32" s="115"/>
      <c r="I32" s="115"/>
      <c r="J32" s="115"/>
      <c r="K32" s="116"/>
    </row>
    <row r="33" spans="2:11" x14ac:dyDescent="0.2">
      <c r="B33" s="111"/>
      <c r="C33" s="112"/>
      <c r="D33" s="112"/>
      <c r="E33" s="112"/>
      <c r="F33" s="112"/>
      <c r="G33" s="112"/>
      <c r="H33" s="112"/>
      <c r="I33" s="112"/>
      <c r="J33" s="112"/>
      <c r="K33" s="113"/>
    </row>
    <row r="34" spans="2:11" ht="15.75" thickBot="1" x14ac:dyDescent="0.25">
      <c r="B34" s="114"/>
      <c r="C34" s="115"/>
      <c r="D34" s="115"/>
      <c r="E34" s="115"/>
      <c r="F34" s="115"/>
      <c r="G34" s="115"/>
      <c r="H34" s="115"/>
      <c r="I34" s="115"/>
      <c r="J34" s="115"/>
      <c r="K34" s="116"/>
    </row>
    <row r="35" spans="2:11" x14ac:dyDescent="0.2">
      <c r="B35" s="111"/>
      <c r="C35" s="112"/>
      <c r="D35" s="112"/>
      <c r="E35" s="112"/>
      <c r="F35" s="112"/>
      <c r="G35" s="112"/>
      <c r="H35" s="112"/>
      <c r="I35" s="112"/>
      <c r="J35" s="112"/>
      <c r="K35" s="113"/>
    </row>
    <row r="36" spans="2:11" ht="15.75" thickBot="1" x14ac:dyDescent="0.25">
      <c r="B36" s="114"/>
      <c r="C36" s="115"/>
      <c r="D36" s="115"/>
      <c r="E36" s="115"/>
      <c r="F36" s="115"/>
      <c r="G36" s="115"/>
      <c r="H36" s="115"/>
      <c r="I36" s="115"/>
      <c r="J36" s="115"/>
      <c r="K36" s="116"/>
    </row>
    <row r="37" spans="2:11" x14ac:dyDescent="0.2">
      <c r="B37" s="111"/>
      <c r="C37" s="112"/>
      <c r="D37" s="112"/>
      <c r="E37" s="112"/>
      <c r="F37" s="112"/>
      <c r="G37" s="112"/>
      <c r="H37" s="112"/>
      <c r="I37" s="112"/>
      <c r="J37" s="112"/>
      <c r="K37" s="113"/>
    </row>
    <row r="38" spans="2:11" ht="15.75" thickBot="1" x14ac:dyDescent="0.25">
      <c r="B38" s="114"/>
      <c r="C38" s="115"/>
      <c r="D38" s="115"/>
      <c r="E38" s="115"/>
      <c r="F38" s="115"/>
      <c r="G38" s="115"/>
      <c r="H38" s="115"/>
      <c r="I38" s="115"/>
      <c r="J38" s="115"/>
      <c r="K38" s="116"/>
    </row>
    <row r="39" spans="2:11" x14ac:dyDescent="0.2">
      <c r="B39" s="111"/>
      <c r="C39" s="112"/>
      <c r="D39" s="112"/>
      <c r="E39" s="112"/>
      <c r="F39" s="112"/>
      <c r="G39" s="112"/>
      <c r="H39" s="112"/>
      <c r="I39" s="112"/>
      <c r="J39" s="112"/>
      <c r="K39" s="113"/>
    </row>
    <row r="40" spans="2:11" ht="15.75" thickBot="1" x14ac:dyDescent="0.25">
      <c r="B40" s="114"/>
      <c r="C40" s="115"/>
      <c r="D40" s="115"/>
      <c r="E40" s="115"/>
      <c r="F40" s="115"/>
      <c r="G40" s="115"/>
      <c r="H40" s="115"/>
      <c r="I40" s="115"/>
      <c r="J40" s="115"/>
      <c r="K40" s="116"/>
    </row>
    <row r="41" spans="2:11" x14ac:dyDescent="0.2"/>
    <row r="42" spans="2:11" x14ac:dyDescent="0.2"/>
  </sheetData>
  <mergeCells count="16">
    <mergeCell ref="B29:K30"/>
    <mergeCell ref="C10:K10"/>
    <mergeCell ref="C12:K12"/>
    <mergeCell ref="B14:K14"/>
    <mergeCell ref="B15:K16"/>
    <mergeCell ref="B17:K18"/>
    <mergeCell ref="B19:K20"/>
    <mergeCell ref="B21:K22"/>
    <mergeCell ref="B23:K24"/>
    <mergeCell ref="B25:K26"/>
    <mergeCell ref="B27:K28"/>
    <mergeCell ref="B31:K32"/>
    <mergeCell ref="B33:K34"/>
    <mergeCell ref="B35:K36"/>
    <mergeCell ref="B37:K38"/>
    <mergeCell ref="B39:K40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C4512-A94A-428C-8EC7-97A0F7AFA5BB}">
  <sheetPr codeName="Planilha14">
    <tabColor rgb="FFFFFF00"/>
  </sheetPr>
  <dimension ref="B1:T45"/>
  <sheetViews>
    <sheetView showGridLines="0" showRowColHeaders="0" workbookViewId="0">
      <pane ySplit="5" topLeftCell="A6" activePane="bottomLeft" state="frozen"/>
      <selection pane="bottomLeft"/>
    </sheetView>
  </sheetViews>
  <sheetFormatPr defaultColWidth="9.140625" defaultRowHeight="15" zeroHeight="1" x14ac:dyDescent="0.25"/>
  <cols>
    <col min="1" max="2" width="9.140625" customWidth="1"/>
    <col min="3" max="3" width="1" customWidth="1"/>
    <col min="4" max="11" width="9.140625" customWidth="1"/>
    <col min="12" max="12" width="0.85546875" customWidth="1"/>
    <col min="13" max="22" width="9.140625" customWidth="1"/>
    <col min="23" max="16382" width="0" hidden="1" customWidth="1"/>
    <col min="16383" max="16383" width="9.140625" customWidth="1"/>
  </cols>
  <sheetData>
    <row r="1" spans="2:20" s="1" customFormat="1" x14ac:dyDescent="0.25"/>
    <row r="2" spans="2:20" s="1" customFormat="1" x14ac:dyDescent="0.25"/>
    <row r="3" spans="2:20" s="1" customFormat="1" x14ac:dyDescent="0.25"/>
    <row r="4" spans="2:20" s="2" customFormat="1" x14ac:dyDescent="0.25"/>
    <row r="5" spans="2:20" s="2" customFormat="1" x14ac:dyDescent="0.25"/>
    <row r="6" spans="2:20" x14ac:dyDescent="0.25"/>
    <row r="7" spans="2:20" x14ac:dyDescent="0.25"/>
    <row r="8" spans="2:20" x14ac:dyDescent="0.25"/>
    <row r="9" spans="2:20" ht="26.25" x14ac:dyDescent="0.4">
      <c r="B9" s="40"/>
      <c r="C9" s="40"/>
      <c r="D9" s="135" t="s">
        <v>71</v>
      </c>
      <c r="E9" s="135"/>
      <c r="F9" s="135"/>
      <c r="G9" s="135"/>
      <c r="H9" s="135"/>
      <c r="I9" s="135"/>
      <c r="J9" s="135"/>
      <c r="K9" s="135"/>
      <c r="L9" s="41"/>
      <c r="M9" s="135" t="s">
        <v>72</v>
      </c>
      <c r="N9" s="135"/>
      <c r="O9" s="135"/>
      <c r="P9" s="135"/>
      <c r="Q9" s="135"/>
      <c r="R9" s="135"/>
      <c r="S9" s="135"/>
      <c r="T9" s="135"/>
    </row>
    <row r="10" spans="2:20" ht="6" customHeight="1" thickBot="1" x14ac:dyDescent="0.3">
      <c r="B10" s="40"/>
      <c r="C10" s="40"/>
    </row>
    <row r="11" spans="2:20" ht="15.75" x14ac:dyDescent="0.25">
      <c r="B11" s="128" t="s">
        <v>73</v>
      </c>
      <c r="C11" s="40"/>
      <c r="D11" s="42" t="str">
        <f>IFERROR(INDEX(Descrição!$B$9:$B$88,calc!H2),"")</f>
        <v>A</v>
      </c>
      <c r="E11" s="43"/>
      <c r="F11" s="43"/>
      <c r="G11" s="43"/>
      <c r="H11" s="43"/>
      <c r="I11" s="43"/>
      <c r="J11" s="43"/>
      <c r="K11" s="44"/>
      <c r="L11" s="45"/>
      <c r="M11" s="42" t="str">
        <f>IFERROR(INDEX(Descrição!$B$9:$B$88,calc!I2),"")</f>
        <v>C</v>
      </c>
      <c r="N11" s="43"/>
      <c r="O11" s="43"/>
      <c r="P11" s="43"/>
      <c r="Q11" s="43"/>
      <c r="R11" s="43"/>
      <c r="S11" s="43"/>
      <c r="T11" s="44"/>
    </row>
    <row r="12" spans="2:20" ht="15.75" x14ac:dyDescent="0.25">
      <c r="B12" s="128"/>
      <c r="C12" s="40"/>
      <c r="D12" s="46" t="str">
        <f>IFERROR(INDEX(Descrição!$B$9:$B$88,calc!H3),"")</f>
        <v>E</v>
      </c>
      <c r="E12" s="55"/>
      <c r="F12" s="55"/>
      <c r="G12" s="55"/>
      <c r="H12" s="55"/>
      <c r="I12" s="55"/>
      <c r="J12" s="55"/>
      <c r="K12" s="47"/>
      <c r="L12" s="45"/>
      <c r="M12" s="46" t="str">
        <f>IFERROR(INDEX(Descrição!$B$9:$B$88,calc!I3),"")</f>
        <v>G</v>
      </c>
      <c r="N12" s="55"/>
      <c r="O12" s="55"/>
      <c r="P12" s="55"/>
      <c r="Q12" s="55"/>
      <c r="R12" s="55"/>
      <c r="S12" s="55"/>
      <c r="T12" s="47"/>
    </row>
    <row r="13" spans="2:20" ht="15.75" x14ac:dyDescent="0.25">
      <c r="B13" s="128"/>
      <c r="C13" s="48"/>
      <c r="D13" s="46" t="str">
        <f>IFERROR(INDEX(Descrição!$B$9:$B$88,calc!H4),"")</f>
        <v>I</v>
      </c>
      <c r="E13" s="55"/>
      <c r="F13" s="55"/>
      <c r="G13" s="55"/>
      <c r="H13" s="55"/>
      <c r="I13" s="55"/>
      <c r="J13" s="55"/>
      <c r="K13" s="47"/>
      <c r="L13" s="45"/>
      <c r="M13" s="46" t="str">
        <f>IFERROR(INDEX(Descrição!$B$9:$B$88,calc!I4),"")</f>
        <v>K</v>
      </c>
      <c r="N13" s="55"/>
      <c r="O13" s="55"/>
      <c r="P13" s="55"/>
      <c r="Q13" s="55"/>
      <c r="R13" s="55"/>
      <c r="S13" s="55"/>
      <c r="T13" s="47"/>
    </row>
    <row r="14" spans="2:20" ht="15.75" x14ac:dyDescent="0.25">
      <c r="B14" s="128"/>
      <c r="C14" s="48"/>
      <c r="D14" s="46" t="str">
        <f>IFERROR(INDEX(Descrição!$B$9:$B$88,calc!H5),"")</f>
        <v/>
      </c>
      <c r="E14" s="55"/>
      <c r="F14" s="55"/>
      <c r="G14" s="55"/>
      <c r="H14" s="55"/>
      <c r="I14" s="55"/>
      <c r="J14" s="55"/>
      <c r="K14" s="47"/>
      <c r="L14" s="45"/>
      <c r="M14" s="46" t="str">
        <f>IFERROR(INDEX(Descrição!$B$9:$B$88,calc!I5),"")</f>
        <v/>
      </c>
      <c r="N14" s="55"/>
      <c r="O14" s="55"/>
      <c r="P14" s="55"/>
      <c r="Q14" s="55"/>
      <c r="R14" s="55"/>
      <c r="S14" s="55"/>
      <c r="T14" s="47"/>
    </row>
    <row r="15" spans="2:20" ht="15.75" x14ac:dyDescent="0.25">
      <c r="B15" s="128"/>
      <c r="C15" s="48"/>
      <c r="D15" s="46" t="str">
        <f>IFERROR(INDEX(Descrição!$B$9:$B$88,calc!H6),"")</f>
        <v/>
      </c>
      <c r="E15" s="55"/>
      <c r="F15" s="55"/>
      <c r="G15" s="55"/>
      <c r="H15" s="55"/>
      <c r="I15" s="55"/>
      <c r="J15" s="55"/>
      <c r="K15" s="47"/>
      <c r="L15" s="45"/>
      <c r="M15" s="46" t="str">
        <f>IFERROR(INDEX(Descrição!$B$9:$B$88,calc!I6),"")</f>
        <v/>
      </c>
      <c r="N15" s="55"/>
      <c r="O15" s="55"/>
      <c r="P15" s="55"/>
      <c r="Q15" s="55"/>
      <c r="R15" s="55"/>
      <c r="S15" s="55"/>
      <c r="T15" s="47"/>
    </row>
    <row r="16" spans="2:20" ht="15.75" x14ac:dyDescent="0.25">
      <c r="B16" s="128"/>
      <c r="C16" s="48"/>
      <c r="D16" s="46" t="str">
        <f>IFERROR(INDEX(Descrição!$B$9:$B$88,calc!H7),"")</f>
        <v/>
      </c>
      <c r="E16" s="55"/>
      <c r="F16" s="55"/>
      <c r="G16" s="55"/>
      <c r="H16" s="55"/>
      <c r="I16" s="55"/>
      <c r="J16" s="55"/>
      <c r="K16" s="47"/>
      <c r="L16" s="45"/>
      <c r="M16" s="46" t="str">
        <f>IFERROR(INDEX(Descrição!$B$9:$B$88,calc!I7),"")</f>
        <v/>
      </c>
      <c r="N16" s="55"/>
      <c r="O16" s="55"/>
      <c r="P16" s="55"/>
      <c r="Q16" s="55"/>
      <c r="R16" s="55"/>
      <c r="S16" s="55"/>
      <c r="T16" s="47"/>
    </row>
    <row r="17" spans="2:20" ht="15.75" x14ac:dyDescent="0.25">
      <c r="B17" s="128"/>
      <c r="C17" s="48"/>
      <c r="D17" s="46" t="str">
        <f>IFERROR(INDEX(Descrição!$B$9:$B$88,calc!H8),"")</f>
        <v/>
      </c>
      <c r="E17" s="55"/>
      <c r="F17" s="55"/>
      <c r="G17" s="55"/>
      <c r="H17" s="55"/>
      <c r="I17" s="55"/>
      <c r="J17" s="55"/>
      <c r="K17" s="47"/>
      <c r="L17" s="45"/>
      <c r="M17" s="46" t="str">
        <f>IFERROR(INDEX(Descrição!$B$9:$B$88,calc!I8),"")</f>
        <v/>
      </c>
      <c r="N17" s="55"/>
      <c r="O17" s="55"/>
      <c r="P17" s="55"/>
      <c r="Q17" s="55"/>
      <c r="R17" s="55"/>
      <c r="S17" s="55"/>
      <c r="T17" s="47"/>
    </row>
    <row r="18" spans="2:20" ht="15.75" x14ac:dyDescent="0.25">
      <c r="B18" s="128"/>
      <c r="C18" s="48"/>
      <c r="D18" s="46" t="str">
        <f>IFERROR(INDEX(Descrição!$B$9:$B$88,calc!H9),"")</f>
        <v/>
      </c>
      <c r="E18" s="55"/>
      <c r="F18" s="55"/>
      <c r="G18" s="55"/>
      <c r="H18" s="55"/>
      <c r="I18" s="55"/>
      <c r="J18" s="55"/>
      <c r="K18" s="47"/>
      <c r="L18" s="45"/>
      <c r="M18" s="46" t="str">
        <f>IFERROR(INDEX(Descrição!$B$9:$B$88,calc!I9),"")</f>
        <v/>
      </c>
      <c r="N18" s="55"/>
      <c r="O18" s="55"/>
      <c r="P18" s="55"/>
      <c r="Q18" s="55"/>
      <c r="R18" s="55"/>
      <c r="S18" s="55"/>
      <c r="T18" s="47"/>
    </row>
    <row r="19" spans="2:20" ht="15.75" x14ac:dyDescent="0.25">
      <c r="B19" s="128"/>
      <c r="C19" s="48"/>
      <c r="D19" s="46" t="str">
        <f>IFERROR(INDEX(Descrição!$B$9:$B$88,calc!H10),"")</f>
        <v/>
      </c>
      <c r="E19" s="55"/>
      <c r="F19" s="55"/>
      <c r="G19" s="55"/>
      <c r="H19" s="55"/>
      <c r="I19" s="55"/>
      <c r="J19" s="55"/>
      <c r="K19" s="47"/>
      <c r="L19" s="45"/>
      <c r="M19" s="46" t="str">
        <f>IFERROR(INDEX(Descrição!$B$9:$B$88,calc!I10),"")</f>
        <v/>
      </c>
      <c r="N19" s="55"/>
      <c r="O19" s="55"/>
      <c r="P19" s="55"/>
      <c r="Q19" s="55"/>
      <c r="R19" s="55"/>
      <c r="S19" s="55"/>
      <c r="T19" s="47"/>
    </row>
    <row r="20" spans="2:20" ht="15.75" x14ac:dyDescent="0.25">
      <c r="B20" s="128"/>
      <c r="C20" s="48"/>
      <c r="D20" s="46" t="str">
        <f>IFERROR(INDEX(Descrição!$B$9:$B$88,calc!H11),"")</f>
        <v/>
      </c>
      <c r="E20" s="55"/>
      <c r="F20" s="55"/>
      <c r="G20" s="55"/>
      <c r="H20" s="55"/>
      <c r="I20" s="55"/>
      <c r="J20" s="55"/>
      <c r="K20" s="47"/>
      <c r="L20" s="45"/>
      <c r="M20" s="46" t="str">
        <f>IFERROR(INDEX(Descrição!$B$9:$B$88,calc!I11),"")</f>
        <v/>
      </c>
      <c r="N20" s="55"/>
      <c r="O20" s="55"/>
      <c r="P20" s="55"/>
      <c r="Q20" s="55"/>
      <c r="R20" s="55"/>
      <c r="S20" s="55"/>
      <c r="T20" s="47"/>
    </row>
    <row r="21" spans="2:20" ht="15.75" x14ac:dyDescent="0.25">
      <c r="B21" s="128"/>
      <c r="C21" s="48"/>
      <c r="D21" s="46" t="str">
        <f>IFERROR(INDEX(Descrição!$B$9:$B$88,calc!H12),"")</f>
        <v/>
      </c>
      <c r="E21" s="55"/>
      <c r="F21" s="55"/>
      <c r="G21" s="55"/>
      <c r="H21" s="55"/>
      <c r="I21" s="55"/>
      <c r="J21" s="55"/>
      <c r="K21" s="47"/>
      <c r="L21" s="45"/>
      <c r="M21" s="46" t="str">
        <f>IFERROR(INDEX(Descrição!$B$9:$B$88,calc!I12),"")</f>
        <v/>
      </c>
      <c r="N21" s="55"/>
      <c r="O21" s="55"/>
      <c r="P21" s="55"/>
      <c r="Q21" s="55"/>
      <c r="R21" s="55"/>
      <c r="S21" s="55"/>
      <c r="T21" s="47"/>
    </row>
    <row r="22" spans="2:20" ht="15.75" x14ac:dyDescent="0.25">
      <c r="B22" s="128"/>
      <c r="C22" s="48"/>
      <c r="D22" s="46" t="str">
        <f>IFERROR(INDEX(Descrição!$B$9:$B$88,calc!H13),"")</f>
        <v/>
      </c>
      <c r="E22" s="55"/>
      <c r="F22" s="55"/>
      <c r="G22" s="55"/>
      <c r="H22" s="55"/>
      <c r="I22" s="55"/>
      <c r="J22" s="55"/>
      <c r="K22" s="47"/>
      <c r="L22" s="45"/>
      <c r="M22" s="46" t="str">
        <f>IFERROR(INDEX(Descrição!$B$9:$B$88,calc!I13),"")</f>
        <v/>
      </c>
      <c r="N22" s="55"/>
      <c r="O22" s="55"/>
      <c r="P22" s="55"/>
      <c r="Q22" s="55"/>
      <c r="R22" s="55"/>
      <c r="S22" s="55"/>
      <c r="T22" s="47"/>
    </row>
    <row r="23" spans="2:20" ht="15.75" x14ac:dyDescent="0.25">
      <c r="B23" s="128"/>
      <c r="C23" s="48"/>
      <c r="D23" s="46" t="str">
        <f>IFERROR(INDEX(Descrição!$B$9:$B$88,calc!H14),"")</f>
        <v/>
      </c>
      <c r="E23" s="55"/>
      <c r="F23" s="55"/>
      <c r="G23" s="55"/>
      <c r="H23" s="55"/>
      <c r="I23" s="55"/>
      <c r="J23" s="55"/>
      <c r="K23" s="47"/>
      <c r="L23" s="45"/>
      <c r="M23" s="46" t="str">
        <f>IFERROR(INDEX(Descrição!$B$9:$B$88,calc!I14),"")</f>
        <v/>
      </c>
      <c r="N23" s="55"/>
      <c r="O23" s="55"/>
      <c r="P23" s="55"/>
      <c r="Q23" s="55"/>
      <c r="R23" s="55"/>
      <c r="S23" s="55"/>
      <c r="T23" s="47"/>
    </row>
    <row r="24" spans="2:20" ht="15.75" x14ac:dyDescent="0.25">
      <c r="B24" s="128"/>
      <c r="C24" s="48"/>
      <c r="D24" s="46" t="str">
        <f>IFERROR(INDEX(Descrição!$B$9:$B$88,calc!H15),"")</f>
        <v/>
      </c>
      <c r="E24" s="55"/>
      <c r="F24" s="55"/>
      <c r="G24" s="55"/>
      <c r="H24" s="55"/>
      <c r="I24" s="55"/>
      <c r="J24" s="55"/>
      <c r="K24" s="47"/>
      <c r="L24" s="45"/>
      <c r="M24" s="46" t="str">
        <f>IFERROR(INDEX(Descrição!$B$9:$B$88,calc!I15),"")</f>
        <v/>
      </c>
      <c r="N24" s="55"/>
      <c r="O24" s="55"/>
      <c r="P24" s="55"/>
      <c r="Q24" s="55"/>
      <c r="R24" s="55"/>
      <c r="S24" s="55"/>
      <c r="T24" s="47"/>
    </row>
    <row r="25" spans="2:20" ht="16.5" thickBot="1" x14ac:dyDescent="0.3">
      <c r="B25" s="128"/>
      <c r="C25" s="48"/>
      <c r="D25" s="56" t="str">
        <f>IFERROR(INDEX(Descrição!$B$9:$B$88,calc!H16),"")</f>
        <v/>
      </c>
      <c r="E25" s="57"/>
      <c r="F25" s="57"/>
      <c r="G25" s="57"/>
      <c r="H25" s="57"/>
      <c r="I25" s="57"/>
      <c r="J25" s="57"/>
      <c r="K25" s="58"/>
      <c r="L25" s="45"/>
      <c r="M25" s="56" t="str">
        <f>IFERROR(INDEX(Descrição!$B$9:$B$88,calc!I16),"")</f>
        <v/>
      </c>
      <c r="N25" s="57"/>
      <c r="O25" s="57"/>
      <c r="P25" s="57"/>
      <c r="Q25" s="57"/>
      <c r="R25" s="57"/>
      <c r="S25" s="57"/>
      <c r="T25" s="58"/>
    </row>
    <row r="26" spans="2:20" ht="21.75" thickBot="1" x14ac:dyDescent="0.4">
      <c r="B26" s="128"/>
      <c r="C26" s="48"/>
      <c r="D26" s="136" t="s">
        <v>74</v>
      </c>
      <c r="E26" s="137"/>
      <c r="F26" s="137"/>
      <c r="G26" s="137"/>
      <c r="H26" s="137"/>
      <c r="I26" s="137"/>
      <c r="J26" s="137"/>
      <c r="K26" s="138"/>
      <c r="L26" s="45"/>
      <c r="M26" s="139" t="s">
        <v>75</v>
      </c>
      <c r="N26" s="140"/>
      <c r="O26" s="140"/>
      <c r="P26" s="140"/>
      <c r="Q26" s="140"/>
      <c r="R26" s="140"/>
      <c r="S26" s="140"/>
      <c r="T26" s="141"/>
    </row>
    <row r="27" spans="2:20" ht="6" customHeight="1" thickBot="1" x14ac:dyDescent="0.3">
      <c r="B27" s="49"/>
      <c r="C27" s="48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</row>
    <row r="28" spans="2:20" ht="15.75" x14ac:dyDescent="0.25">
      <c r="B28" s="128" t="s">
        <v>76</v>
      </c>
      <c r="C28" s="48"/>
      <c r="D28" s="42" t="str">
        <f>IFERROR(INDEX(Descrição!$B$9:$B$88,calc!J2),"")</f>
        <v>D</v>
      </c>
      <c r="E28" s="43"/>
      <c r="F28" s="43"/>
      <c r="G28" s="43"/>
      <c r="H28" s="43"/>
      <c r="I28" s="43"/>
      <c r="J28" s="43"/>
      <c r="K28" s="44"/>
      <c r="L28" s="45"/>
      <c r="M28" s="42" t="str">
        <f>IFERROR(INDEX(Descrição!$B$9:$B$88,calc!K2),"")</f>
        <v>B</v>
      </c>
      <c r="N28" s="43"/>
      <c r="O28" s="43"/>
      <c r="P28" s="43"/>
      <c r="Q28" s="43"/>
      <c r="R28" s="43"/>
      <c r="S28" s="43"/>
      <c r="T28" s="44"/>
    </row>
    <row r="29" spans="2:20" ht="15.75" x14ac:dyDescent="0.25">
      <c r="B29" s="128"/>
      <c r="C29" s="48"/>
      <c r="D29" s="46" t="str">
        <f>IFERROR(INDEX(Descrição!$B$9:$B$88,calc!J3),"")</f>
        <v>H</v>
      </c>
      <c r="E29" s="55"/>
      <c r="F29" s="55"/>
      <c r="G29" s="55"/>
      <c r="H29" s="55"/>
      <c r="I29" s="55"/>
      <c r="J29" s="55"/>
      <c r="K29" s="47"/>
      <c r="L29" s="45"/>
      <c r="M29" s="46" t="str">
        <f>IFERROR(INDEX(Descrição!$B$9:$B$88,calc!K3),"")</f>
        <v>F</v>
      </c>
      <c r="N29" s="55"/>
      <c r="O29" s="55"/>
      <c r="P29" s="55"/>
      <c r="Q29" s="55"/>
      <c r="R29" s="55"/>
      <c r="S29" s="55"/>
      <c r="T29" s="47"/>
    </row>
    <row r="30" spans="2:20" ht="15.75" x14ac:dyDescent="0.25">
      <c r="B30" s="128"/>
      <c r="C30" s="48"/>
      <c r="D30" s="46" t="str">
        <f>IFERROR(INDEX(Descrição!$B$9:$B$88,calc!J4),"")</f>
        <v>L</v>
      </c>
      <c r="E30" s="55"/>
      <c r="F30" s="55"/>
      <c r="G30" s="55"/>
      <c r="H30" s="55"/>
      <c r="I30" s="55"/>
      <c r="J30" s="55"/>
      <c r="K30" s="47"/>
      <c r="L30" s="45"/>
      <c r="M30" s="46" t="str">
        <f>IFERROR(INDEX(Descrição!$B$9:$B$88,calc!K4),"")</f>
        <v>J</v>
      </c>
      <c r="N30" s="55"/>
      <c r="O30" s="55"/>
      <c r="P30" s="55"/>
      <c r="Q30" s="55"/>
      <c r="R30" s="55"/>
      <c r="S30" s="55"/>
      <c r="T30" s="47"/>
    </row>
    <row r="31" spans="2:20" ht="15.75" x14ac:dyDescent="0.25">
      <c r="B31" s="128"/>
      <c r="C31" s="48"/>
      <c r="D31" s="46" t="str">
        <f>IFERROR(INDEX(Descrição!$B$9:$B$88,calc!J5),"")</f>
        <v/>
      </c>
      <c r="E31" s="55"/>
      <c r="F31" s="55"/>
      <c r="G31" s="55"/>
      <c r="H31" s="55"/>
      <c r="I31" s="55"/>
      <c r="J31" s="55"/>
      <c r="K31" s="47"/>
      <c r="L31" s="45"/>
      <c r="M31" s="46" t="str">
        <f>IFERROR(INDEX(Descrição!$B$9:$B$88,calc!K5),"")</f>
        <v/>
      </c>
      <c r="N31" s="55"/>
      <c r="O31" s="55"/>
      <c r="P31" s="55"/>
      <c r="Q31" s="55"/>
      <c r="R31" s="55"/>
      <c r="S31" s="55"/>
      <c r="T31" s="47"/>
    </row>
    <row r="32" spans="2:20" ht="15.75" x14ac:dyDescent="0.25">
      <c r="B32" s="128"/>
      <c r="C32" s="48"/>
      <c r="D32" s="46" t="str">
        <f>IFERROR(INDEX(Descrição!$B$9:$B$88,calc!J6),"")</f>
        <v/>
      </c>
      <c r="E32" s="55"/>
      <c r="F32" s="55"/>
      <c r="G32" s="55"/>
      <c r="H32" s="55"/>
      <c r="I32" s="55"/>
      <c r="J32" s="55"/>
      <c r="K32" s="47"/>
      <c r="L32" s="45"/>
      <c r="M32" s="46" t="str">
        <f>IFERROR(INDEX(Descrição!$B$9:$B$88,calc!K6),"")</f>
        <v/>
      </c>
      <c r="N32" s="55"/>
      <c r="O32" s="55"/>
      <c r="P32" s="55"/>
      <c r="Q32" s="55"/>
      <c r="R32" s="55"/>
      <c r="S32" s="55"/>
      <c r="T32" s="47"/>
    </row>
    <row r="33" spans="2:20" ht="15.75" x14ac:dyDescent="0.25">
      <c r="B33" s="128"/>
      <c r="C33" s="48"/>
      <c r="D33" s="46" t="str">
        <f>IFERROR(INDEX(Descrição!$B$9:$B$88,calc!J7),"")</f>
        <v/>
      </c>
      <c r="E33" s="55"/>
      <c r="F33" s="55"/>
      <c r="G33" s="55"/>
      <c r="H33" s="55"/>
      <c r="I33" s="55"/>
      <c r="J33" s="55"/>
      <c r="K33" s="47"/>
      <c r="L33" s="45"/>
      <c r="M33" s="46" t="str">
        <f>IFERROR(INDEX(Descrição!$B$9:$B$88,calc!K7),"")</f>
        <v/>
      </c>
      <c r="N33" s="55"/>
      <c r="O33" s="55"/>
      <c r="P33" s="55"/>
      <c r="Q33" s="55"/>
      <c r="R33" s="55"/>
      <c r="S33" s="55"/>
      <c r="T33" s="47"/>
    </row>
    <row r="34" spans="2:20" ht="15.75" x14ac:dyDescent="0.25">
      <c r="B34" s="128"/>
      <c r="C34" s="48"/>
      <c r="D34" s="46" t="str">
        <f>IFERROR(INDEX(Descrição!$B$9:$B$88,calc!J8),"")</f>
        <v/>
      </c>
      <c r="E34" s="55"/>
      <c r="F34" s="55"/>
      <c r="G34" s="55"/>
      <c r="H34" s="55"/>
      <c r="I34" s="55"/>
      <c r="J34" s="55"/>
      <c r="K34" s="47"/>
      <c r="L34" s="45"/>
      <c r="M34" s="46" t="str">
        <f>IFERROR(INDEX(Descrição!$B$9:$B$88,calc!K8),"")</f>
        <v/>
      </c>
      <c r="N34" s="55"/>
      <c r="O34" s="55"/>
      <c r="P34" s="55"/>
      <c r="Q34" s="55"/>
      <c r="R34" s="55"/>
      <c r="S34" s="55"/>
      <c r="T34" s="47"/>
    </row>
    <row r="35" spans="2:20" ht="15.75" x14ac:dyDescent="0.25">
      <c r="B35" s="128"/>
      <c r="C35" s="48"/>
      <c r="D35" s="46" t="str">
        <f>IFERROR(INDEX(Descrição!$B$9:$B$88,calc!J9),"")</f>
        <v/>
      </c>
      <c r="E35" s="55"/>
      <c r="F35" s="55"/>
      <c r="G35" s="55"/>
      <c r="H35" s="55"/>
      <c r="I35" s="55"/>
      <c r="J35" s="55"/>
      <c r="K35" s="47"/>
      <c r="L35" s="45"/>
      <c r="M35" s="46" t="str">
        <f>IFERROR(INDEX(Descrição!$B$9:$B$88,calc!K9),"")</f>
        <v/>
      </c>
      <c r="N35" s="55"/>
      <c r="O35" s="55"/>
      <c r="P35" s="55"/>
      <c r="Q35" s="55"/>
      <c r="R35" s="55"/>
      <c r="S35" s="55"/>
      <c r="T35" s="47"/>
    </row>
    <row r="36" spans="2:20" ht="15.75" x14ac:dyDescent="0.25">
      <c r="B36" s="128"/>
      <c r="C36" s="48"/>
      <c r="D36" s="46" t="str">
        <f>IFERROR(INDEX(Descrição!$B$9:$B$88,calc!J10),"")</f>
        <v/>
      </c>
      <c r="E36" s="55"/>
      <c r="F36" s="55"/>
      <c r="G36" s="55"/>
      <c r="H36" s="55"/>
      <c r="I36" s="55"/>
      <c r="J36" s="55"/>
      <c r="K36" s="47"/>
      <c r="L36" s="45"/>
      <c r="M36" s="46" t="str">
        <f>IFERROR(INDEX(Descrição!$B$9:$B$88,calc!K10),"")</f>
        <v/>
      </c>
      <c r="N36" s="55"/>
      <c r="O36" s="55"/>
      <c r="P36" s="55"/>
      <c r="Q36" s="55"/>
      <c r="R36" s="55"/>
      <c r="S36" s="55"/>
      <c r="T36" s="47"/>
    </row>
    <row r="37" spans="2:20" ht="15.75" x14ac:dyDescent="0.25">
      <c r="B37" s="128"/>
      <c r="C37" s="48"/>
      <c r="D37" s="46" t="str">
        <f>IFERROR(INDEX(Descrição!$B$9:$B$88,calc!J11),"")</f>
        <v/>
      </c>
      <c r="E37" s="55"/>
      <c r="F37" s="55"/>
      <c r="G37" s="55"/>
      <c r="H37" s="55"/>
      <c r="I37" s="55"/>
      <c r="J37" s="55"/>
      <c r="K37" s="47"/>
      <c r="L37" s="45"/>
      <c r="M37" s="46" t="str">
        <f>IFERROR(INDEX(Descrição!$B$9:$B$88,calc!K11),"")</f>
        <v/>
      </c>
      <c r="N37" s="55"/>
      <c r="O37" s="55"/>
      <c r="P37" s="55"/>
      <c r="Q37" s="55"/>
      <c r="R37" s="55"/>
      <c r="S37" s="55"/>
      <c r="T37" s="47"/>
    </row>
    <row r="38" spans="2:20" ht="15.75" x14ac:dyDescent="0.25">
      <c r="B38" s="128"/>
      <c r="C38" s="48"/>
      <c r="D38" s="46" t="str">
        <f>IFERROR(INDEX(Descrição!$B$9:$B$88,calc!J12),"")</f>
        <v/>
      </c>
      <c r="E38" s="55"/>
      <c r="F38" s="55"/>
      <c r="G38" s="55"/>
      <c r="H38" s="55"/>
      <c r="I38" s="55"/>
      <c r="J38" s="55"/>
      <c r="K38" s="47"/>
      <c r="L38" s="45"/>
      <c r="M38" s="46" t="str">
        <f>IFERROR(INDEX(Descrição!$B$9:$B$88,calc!K12),"")</f>
        <v/>
      </c>
      <c r="N38" s="55"/>
      <c r="O38" s="55"/>
      <c r="P38" s="55"/>
      <c r="Q38" s="55"/>
      <c r="R38" s="55"/>
      <c r="S38" s="55"/>
      <c r="T38" s="47"/>
    </row>
    <row r="39" spans="2:20" ht="15.75" x14ac:dyDescent="0.25">
      <c r="B39" s="128"/>
      <c r="C39" s="48"/>
      <c r="D39" s="46" t="str">
        <f>IFERROR(INDEX(Descrição!$B$9:$B$88,calc!J13),"")</f>
        <v/>
      </c>
      <c r="E39" s="55"/>
      <c r="F39" s="55"/>
      <c r="G39" s="55"/>
      <c r="H39" s="55"/>
      <c r="I39" s="55"/>
      <c r="J39" s="55"/>
      <c r="K39" s="47"/>
      <c r="L39" s="45"/>
      <c r="M39" s="46" t="str">
        <f>IFERROR(INDEX(Descrição!$B$9:$B$88,calc!K13),"")</f>
        <v/>
      </c>
      <c r="N39" s="55"/>
      <c r="O39" s="55"/>
      <c r="P39" s="55"/>
      <c r="Q39" s="55"/>
      <c r="R39" s="55"/>
      <c r="S39" s="55"/>
      <c r="T39" s="47"/>
    </row>
    <row r="40" spans="2:20" ht="15.75" x14ac:dyDescent="0.25">
      <c r="B40" s="128"/>
      <c r="C40" s="48"/>
      <c r="D40" s="46" t="str">
        <f>IFERROR(INDEX(Descrição!$B$9:$B$88,calc!J14),"")</f>
        <v/>
      </c>
      <c r="E40" s="55"/>
      <c r="F40" s="55"/>
      <c r="G40" s="55"/>
      <c r="H40" s="55"/>
      <c r="I40" s="55"/>
      <c r="J40" s="55"/>
      <c r="K40" s="47"/>
      <c r="L40" s="45"/>
      <c r="M40" s="46" t="str">
        <f>IFERROR(INDEX(Descrição!$B$9:$B$88,calc!K14),"")</f>
        <v/>
      </c>
      <c r="N40" s="55"/>
      <c r="O40" s="55"/>
      <c r="P40" s="55"/>
      <c r="Q40" s="55"/>
      <c r="R40" s="55"/>
      <c r="S40" s="55"/>
      <c r="T40" s="47"/>
    </row>
    <row r="41" spans="2:20" ht="15.75" x14ac:dyDescent="0.25">
      <c r="B41" s="128"/>
      <c r="C41" s="48"/>
      <c r="D41" s="46" t="str">
        <f>IFERROR(INDEX(Descrição!$B$9:$B$88,calc!J15),"")</f>
        <v/>
      </c>
      <c r="E41" s="55"/>
      <c r="F41" s="55"/>
      <c r="G41" s="55"/>
      <c r="H41" s="55"/>
      <c r="I41" s="55"/>
      <c r="J41" s="55"/>
      <c r="K41" s="47"/>
      <c r="L41" s="45"/>
      <c r="M41" s="46" t="str">
        <f>IFERROR(INDEX(Descrição!$B$9:$B$88,calc!K15),"")</f>
        <v/>
      </c>
      <c r="N41" s="55"/>
      <c r="O41" s="55"/>
      <c r="P41" s="55"/>
      <c r="Q41" s="55"/>
      <c r="R41" s="55"/>
      <c r="S41" s="55"/>
      <c r="T41" s="47"/>
    </row>
    <row r="42" spans="2:20" ht="16.5" thickBot="1" x14ac:dyDescent="0.3">
      <c r="B42" s="128"/>
      <c r="C42" s="48"/>
      <c r="D42" s="56" t="str">
        <f>IFERROR(INDEX(Descrição!$B$9:$B$88,calc!J16),"")</f>
        <v/>
      </c>
      <c r="E42" s="57"/>
      <c r="F42" s="57"/>
      <c r="G42" s="57"/>
      <c r="H42" s="57"/>
      <c r="I42" s="57"/>
      <c r="J42" s="57"/>
      <c r="K42" s="58"/>
      <c r="L42" s="45"/>
      <c r="M42" s="56" t="str">
        <f>IFERROR(INDEX(Descrição!$B$9:$B$88,calc!K16),"")</f>
        <v/>
      </c>
      <c r="N42" s="57"/>
      <c r="O42" s="57"/>
      <c r="P42" s="57"/>
      <c r="Q42" s="57"/>
      <c r="R42" s="57"/>
      <c r="S42" s="57"/>
      <c r="T42" s="58"/>
    </row>
    <row r="43" spans="2:20" ht="21.75" thickBot="1" x14ac:dyDescent="0.4">
      <c r="B43" s="128"/>
      <c r="C43" s="48"/>
      <c r="D43" s="129" t="s">
        <v>77</v>
      </c>
      <c r="E43" s="130"/>
      <c r="F43" s="130"/>
      <c r="G43" s="130"/>
      <c r="H43" s="130"/>
      <c r="I43" s="130"/>
      <c r="J43" s="130"/>
      <c r="K43" s="131"/>
      <c r="L43" s="45"/>
      <c r="M43" s="132" t="s">
        <v>78</v>
      </c>
      <c r="N43" s="133"/>
      <c r="O43" s="133"/>
      <c r="P43" s="133"/>
      <c r="Q43" s="133"/>
      <c r="R43" s="133"/>
      <c r="S43" s="133"/>
      <c r="T43" s="134"/>
    </row>
    <row r="44" spans="2:20" x14ac:dyDescent="0.25"/>
    <row r="45" spans="2:20" x14ac:dyDescent="0.25"/>
  </sheetData>
  <mergeCells count="8">
    <mergeCell ref="B28:B43"/>
    <mergeCell ref="D43:K43"/>
    <mergeCell ref="M43:T43"/>
    <mergeCell ref="D9:K9"/>
    <mergeCell ref="M9:T9"/>
    <mergeCell ref="B11:B26"/>
    <mergeCell ref="D26:K26"/>
    <mergeCell ref="M26:T26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F4AE4-4AD2-43CA-B0CE-A376344EA79D}">
  <sheetPr codeName="Planilha15">
    <tabColor rgb="FFFFFF00"/>
  </sheetPr>
  <dimension ref="B1:D88"/>
  <sheetViews>
    <sheetView showGridLines="0" showRowColHeaders="0" workbookViewId="0">
      <pane ySplit="8" topLeftCell="A9" activePane="bottomLeft" state="frozen"/>
      <selection pane="bottomLeft" activeCell="C21" sqref="C21"/>
    </sheetView>
  </sheetViews>
  <sheetFormatPr defaultRowHeight="15" x14ac:dyDescent="0.25"/>
  <cols>
    <col min="2" max="2" width="52.7109375" customWidth="1"/>
    <col min="3" max="3" width="28.5703125" customWidth="1"/>
    <col min="4" max="4" width="32.42578125" customWidth="1"/>
    <col min="10" max="10" width="9.140625" customWidth="1"/>
    <col min="11" max="11" width="78.140625" customWidth="1"/>
  </cols>
  <sheetData>
    <row r="1" spans="2:4" s="1" customFormat="1" x14ac:dyDescent="0.25"/>
    <row r="2" spans="2:4" s="1" customFormat="1" x14ac:dyDescent="0.25"/>
    <row r="3" spans="2:4" s="1" customFormat="1" x14ac:dyDescent="0.25"/>
    <row r="4" spans="2:4" s="2" customFormat="1" x14ac:dyDescent="0.25"/>
    <row r="5" spans="2:4" s="2" customFormat="1" x14ac:dyDescent="0.25"/>
    <row r="7" spans="2:4" ht="15.75" thickBot="1" x14ac:dyDescent="0.3"/>
    <row r="8" spans="2:4" ht="25.5" customHeight="1" thickBot="1" x14ac:dyDescent="0.3">
      <c r="B8" s="50" t="s">
        <v>79</v>
      </c>
      <c r="C8" s="51" t="s">
        <v>80</v>
      </c>
      <c r="D8" s="52" t="s">
        <v>81</v>
      </c>
    </row>
    <row r="9" spans="2:4" ht="15.75" x14ac:dyDescent="0.25">
      <c r="B9" s="53" t="s">
        <v>82</v>
      </c>
      <c r="C9" s="53" t="s">
        <v>83</v>
      </c>
      <c r="D9" s="53" t="s">
        <v>84</v>
      </c>
    </row>
    <row r="10" spans="2:4" ht="15.75" x14ac:dyDescent="0.25">
      <c r="B10" s="54" t="s">
        <v>85</v>
      </c>
      <c r="C10" s="54" t="s">
        <v>88</v>
      </c>
      <c r="D10" s="54" t="s">
        <v>86</v>
      </c>
    </row>
    <row r="11" spans="2:4" ht="15.75" x14ac:dyDescent="0.25">
      <c r="B11" s="54" t="s">
        <v>87</v>
      </c>
      <c r="C11" s="54" t="s">
        <v>83</v>
      </c>
      <c r="D11" s="54" t="s">
        <v>86</v>
      </c>
    </row>
    <row r="12" spans="2:4" ht="15.75" x14ac:dyDescent="0.25">
      <c r="B12" s="54" t="s">
        <v>89</v>
      </c>
      <c r="C12" s="54" t="s">
        <v>88</v>
      </c>
      <c r="D12" s="54" t="s">
        <v>84</v>
      </c>
    </row>
    <row r="13" spans="2:4" ht="15.75" x14ac:dyDescent="0.25">
      <c r="B13" s="53" t="s">
        <v>90</v>
      </c>
      <c r="C13" s="53" t="s">
        <v>83</v>
      </c>
      <c r="D13" s="53" t="s">
        <v>84</v>
      </c>
    </row>
    <row r="14" spans="2:4" ht="15.75" x14ac:dyDescent="0.25">
      <c r="B14" s="54" t="s">
        <v>91</v>
      </c>
      <c r="C14" s="54" t="s">
        <v>88</v>
      </c>
      <c r="D14" s="54" t="s">
        <v>86</v>
      </c>
    </row>
    <row r="15" spans="2:4" ht="15.75" x14ac:dyDescent="0.25">
      <c r="B15" s="54" t="s">
        <v>92</v>
      </c>
      <c r="C15" s="54" t="s">
        <v>83</v>
      </c>
      <c r="D15" s="54" t="s">
        <v>86</v>
      </c>
    </row>
    <row r="16" spans="2:4" ht="15.75" x14ac:dyDescent="0.25">
      <c r="B16" s="54" t="s">
        <v>93</v>
      </c>
      <c r="C16" s="54" t="s">
        <v>88</v>
      </c>
      <c r="D16" s="54" t="s">
        <v>84</v>
      </c>
    </row>
    <row r="17" spans="2:4" ht="15.75" x14ac:dyDescent="0.25">
      <c r="B17" s="53" t="s">
        <v>94</v>
      </c>
      <c r="C17" s="53" t="s">
        <v>83</v>
      </c>
      <c r="D17" s="53" t="s">
        <v>84</v>
      </c>
    </row>
    <row r="18" spans="2:4" ht="15.75" x14ac:dyDescent="0.25">
      <c r="B18" s="54" t="s">
        <v>95</v>
      </c>
      <c r="C18" s="54" t="s">
        <v>88</v>
      </c>
      <c r="D18" s="54" t="s">
        <v>86</v>
      </c>
    </row>
    <row r="19" spans="2:4" ht="15.75" x14ac:dyDescent="0.25">
      <c r="B19" s="54" t="s">
        <v>96</v>
      </c>
      <c r="C19" s="54" t="s">
        <v>83</v>
      </c>
      <c r="D19" s="54" t="s">
        <v>86</v>
      </c>
    </row>
    <row r="20" spans="2:4" ht="15.75" x14ac:dyDescent="0.25">
      <c r="B20" s="54" t="s">
        <v>97</v>
      </c>
      <c r="C20" s="54" t="s">
        <v>88</v>
      </c>
      <c r="D20" s="54" t="s">
        <v>84</v>
      </c>
    </row>
    <row r="21" spans="2:4" ht="15.75" x14ac:dyDescent="0.25">
      <c r="B21" s="53"/>
      <c r="C21" s="53"/>
      <c r="D21" s="53"/>
    </row>
    <row r="22" spans="2:4" ht="15.75" x14ac:dyDescent="0.25">
      <c r="B22" s="54"/>
      <c r="C22" s="54"/>
      <c r="D22" s="54"/>
    </row>
    <row r="23" spans="2:4" ht="15.75" x14ac:dyDescent="0.25">
      <c r="B23" s="54"/>
      <c r="C23" s="54"/>
      <c r="D23" s="54"/>
    </row>
    <row r="24" spans="2:4" ht="15.75" x14ac:dyDescent="0.25">
      <c r="B24" s="54"/>
      <c r="C24" s="54"/>
      <c r="D24" s="54"/>
    </row>
    <row r="25" spans="2:4" ht="15.75" x14ac:dyDescent="0.25">
      <c r="B25" s="54"/>
      <c r="C25" s="54"/>
      <c r="D25" s="54"/>
    </row>
    <row r="26" spans="2:4" ht="15.75" x14ac:dyDescent="0.25">
      <c r="B26" s="54"/>
      <c r="C26" s="54"/>
      <c r="D26" s="54"/>
    </row>
    <row r="27" spans="2:4" ht="15.75" x14ac:dyDescent="0.25">
      <c r="B27" s="54"/>
      <c r="C27" s="54"/>
      <c r="D27" s="54"/>
    </row>
    <row r="28" spans="2:4" ht="15.75" x14ac:dyDescent="0.25">
      <c r="B28" s="54"/>
      <c r="C28" s="54"/>
      <c r="D28" s="54"/>
    </row>
    <row r="29" spans="2:4" ht="15.75" x14ac:dyDescent="0.25">
      <c r="B29" s="54"/>
      <c r="C29" s="54"/>
      <c r="D29" s="54"/>
    </row>
    <row r="30" spans="2:4" ht="15.75" x14ac:dyDescent="0.25">
      <c r="B30" s="54"/>
      <c r="C30" s="54"/>
      <c r="D30" s="54"/>
    </row>
    <row r="31" spans="2:4" ht="15.75" x14ac:dyDescent="0.25">
      <c r="B31" s="54"/>
      <c r="C31" s="54"/>
      <c r="D31" s="54"/>
    </row>
    <row r="32" spans="2:4" ht="15.75" x14ac:dyDescent="0.25">
      <c r="B32" s="54"/>
      <c r="C32" s="54"/>
      <c r="D32" s="54"/>
    </row>
    <row r="33" spans="2:4" ht="15.75" x14ac:dyDescent="0.25">
      <c r="B33" s="54"/>
      <c r="C33" s="54"/>
      <c r="D33" s="54"/>
    </row>
    <row r="34" spans="2:4" ht="15.75" x14ac:dyDescent="0.25">
      <c r="B34" s="54"/>
      <c r="C34" s="54"/>
      <c r="D34" s="54"/>
    </row>
    <row r="35" spans="2:4" ht="15.75" x14ac:dyDescent="0.25">
      <c r="B35" s="54"/>
      <c r="C35" s="54"/>
      <c r="D35" s="54"/>
    </row>
    <row r="36" spans="2:4" ht="15.75" x14ac:dyDescent="0.25">
      <c r="B36" s="54"/>
      <c r="C36" s="54"/>
      <c r="D36" s="54"/>
    </row>
    <row r="37" spans="2:4" ht="15.75" x14ac:dyDescent="0.25">
      <c r="B37" s="54"/>
      <c r="C37" s="54"/>
      <c r="D37" s="54"/>
    </row>
    <row r="38" spans="2:4" ht="15.75" x14ac:dyDescent="0.25">
      <c r="B38" s="54"/>
      <c r="C38" s="54"/>
      <c r="D38" s="54"/>
    </row>
    <row r="39" spans="2:4" ht="15.75" x14ac:dyDescent="0.25">
      <c r="B39" s="54"/>
      <c r="C39" s="54"/>
      <c r="D39" s="54"/>
    </row>
    <row r="40" spans="2:4" ht="15.75" x14ac:dyDescent="0.25">
      <c r="B40" s="54"/>
      <c r="C40" s="54"/>
      <c r="D40" s="54"/>
    </row>
    <row r="41" spans="2:4" ht="15.75" x14ac:dyDescent="0.25">
      <c r="B41" s="54"/>
      <c r="C41" s="54"/>
      <c r="D41" s="54"/>
    </row>
    <row r="42" spans="2:4" ht="15.75" x14ac:dyDescent="0.25">
      <c r="B42" s="54"/>
      <c r="C42" s="54"/>
      <c r="D42" s="54"/>
    </row>
    <row r="43" spans="2:4" ht="15.75" x14ac:dyDescent="0.25">
      <c r="B43" s="54"/>
      <c r="C43" s="54"/>
      <c r="D43" s="54"/>
    </row>
    <row r="44" spans="2:4" ht="15.75" x14ac:dyDescent="0.25">
      <c r="B44" s="54"/>
      <c r="C44" s="54"/>
      <c r="D44" s="54"/>
    </row>
    <row r="45" spans="2:4" ht="15.75" x14ac:dyDescent="0.25">
      <c r="B45" s="54"/>
      <c r="C45" s="54"/>
      <c r="D45" s="54"/>
    </row>
    <row r="46" spans="2:4" ht="15.75" x14ac:dyDescent="0.25">
      <c r="B46" s="54"/>
      <c r="C46" s="54"/>
      <c r="D46" s="54"/>
    </row>
    <row r="47" spans="2:4" ht="15.75" x14ac:dyDescent="0.25">
      <c r="B47" s="54"/>
      <c r="C47" s="54"/>
      <c r="D47" s="54"/>
    </row>
    <row r="48" spans="2:4" ht="15.75" x14ac:dyDescent="0.25">
      <c r="B48" s="54"/>
      <c r="C48" s="54"/>
      <c r="D48" s="54"/>
    </row>
    <row r="49" spans="2:4" ht="15.75" x14ac:dyDescent="0.25">
      <c r="B49" s="54"/>
      <c r="C49" s="54"/>
      <c r="D49" s="54"/>
    </row>
    <row r="50" spans="2:4" ht="15.75" x14ac:dyDescent="0.25">
      <c r="B50" s="54"/>
      <c r="C50" s="54"/>
      <c r="D50" s="54"/>
    </row>
    <row r="51" spans="2:4" ht="15.75" x14ac:dyDescent="0.25">
      <c r="B51" s="54"/>
      <c r="C51" s="54"/>
      <c r="D51" s="54"/>
    </row>
    <row r="52" spans="2:4" ht="15.75" x14ac:dyDescent="0.25">
      <c r="B52" s="54"/>
      <c r="C52" s="54"/>
      <c r="D52" s="54"/>
    </row>
    <row r="53" spans="2:4" ht="15.75" x14ac:dyDescent="0.25">
      <c r="B53" s="54"/>
      <c r="C53" s="54"/>
      <c r="D53" s="54"/>
    </row>
    <row r="54" spans="2:4" ht="15.75" x14ac:dyDescent="0.25">
      <c r="B54" s="54"/>
      <c r="C54" s="54"/>
      <c r="D54" s="54"/>
    </row>
    <row r="55" spans="2:4" ht="15.75" x14ac:dyDescent="0.25">
      <c r="B55" s="54"/>
      <c r="C55" s="54"/>
      <c r="D55" s="54"/>
    </row>
    <row r="56" spans="2:4" ht="15.75" x14ac:dyDescent="0.25">
      <c r="B56" s="54"/>
      <c r="C56" s="54"/>
      <c r="D56" s="54"/>
    </row>
    <row r="57" spans="2:4" ht="15.75" x14ac:dyDescent="0.25">
      <c r="B57" s="54"/>
      <c r="C57" s="54"/>
      <c r="D57" s="54"/>
    </row>
    <row r="58" spans="2:4" ht="15.75" x14ac:dyDescent="0.25">
      <c r="B58" s="54"/>
      <c r="C58" s="54"/>
      <c r="D58" s="54"/>
    </row>
    <row r="59" spans="2:4" ht="15.75" x14ac:dyDescent="0.25">
      <c r="B59" s="54"/>
      <c r="C59" s="54"/>
      <c r="D59" s="54"/>
    </row>
    <row r="60" spans="2:4" ht="15.75" x14ac:dyDescent="0.25">
      <c r="B60" s="54"/>
      <c r="C60" s="54"/>
      <c r="D60" s="54"/>
    </row>
    <row r="61" spans="2:4" ht="15.75" x14ac:dyDescent="0.25">
      <c r="B61" s="54"/>
      <c r="C61" s="54"/>
      <c r="D61" s="54"/>
    </row>
    <row r="62" spans="2:4" ht="15.75" x14ac:dyDescent="0.25">
      <c r="B62" s="54"/>
      <c r="C62" s="54"/>
      <c r="D62" s="54"/>
    </row>
    <row r="63" spans="2:4" ht="15.75" x14ac:dyDescent="0.25">
      <c r="B63" s="54"/>
      <c r="C63" s="54"/>
      <c r="D63" s="54"/>
    </row>
    <row r="64" spans="2:4" ht="15.75" x14ac:dyDescent="0.25">
      <c r="B64" s="54"/>
      <c r="C64" s="54"/>
      <c r="D64" s="54"/>
    </row>
    <row r="65" spans="2:4" ht="15.75" x14ac:dyDescent="0.25">
      <c r="B65" s="54"/>
      <c r="C65" s="54"/>
      <c r="D65" s="54"/>
    </row>
    <row r="66" spans="2:4" ht="15.75" x14ac:dyDescent="0.25">
      <c r="B66" s="54"/>
      <c r="C66" s="54"/>
      <c r="D66" s="54"/>
    </row>
    <row r="67" spans="2:4" ht="15.75" x14ac:dyDescent="0.25">
      <c r="B67" s="54"/>
      <c r="C67" s="54"/>
      <c r="D67" s="54"/>
    </row>
    <row r="68" spans="2:4" ht="15.75" x14ac:dyDescent="0.25">
      <c r="B68" s="54"/>
      <c r="C68" s="54"/>
      <c r="D68" s="54"/>
    </row>
    <row r="69" spans="2:4" ht="15.75" x14ac:dyDescent="0.25">
      <c r="B69" s="54"/>
      <c r="C69" s="54"/>
      <c r="D69" s="54"/>
    </row>
    <row r="70" spans="2:4" ht="15.75" x14ac:dyDescent="0.25">
      <c r="B70" s="54"/>
      <c r="C70" s="54"/>
      <c r="D70" s="54"/>
    </row>
    <row r="71" spans="2:4" ht="15.75" x14ac:dyDescent="0.25">
      <c r="B71" s="54"/>
      <c r="C71" s="54"/>
      <c r="D71" s="54"/>
    </row>
    <row r="72" spans="2:4" ht="15.75" x14ac:dyDescent="0.25">
      <c r="B72" s="54"/>
      <c r="C72" s="54"/>
      <c r="D72" s="54"/>
    </row>
    <row r="73" spans="2:4" ht="15.75" x14ac:dyDescent="0.25">
      <c r="B73" s="54"/>
      <c r="C73" s="54"/>
      <c r="D73" s="54"/>
    </row>
    <row r="74" spans="2:4" ht="15.75" x14ac:dyDescent="0.25">
      <c r="B74" s="54"/>
      <c r="C74" s="54"/>
      <c r="D74" s="54"/>
    </row>
    <row r="75" spans="2:4" ht="15.75" x14ac:dyDescent="0.25">
      <c r="B75" s="54"/>
      <c r="C75" s="54"/>
      <c r="D75" s="54"/>
    </row>
    <row r="76" spans="2:4" ht="15.75" x14ac:dyDescent="0.25">
      <c r="B76" s="54"/>
      <c r="C76" s="54"/>
      <c r="D76" s="54"/>
    </row>
    <row r="77" spans="2:4" ht="15.75" x14ac:dyDescent="0.25">
      <c r="B77" s="54"/>
      <c r="C77" s="54"/>
      <c r="D77" s="54"/>
    </row>
    <row r="78" spans="2:4" ht="15.75" x14ac:dyDescent="0.25">
      <c r="B78" s="54"/>
      <c r="C78" s="54"/>
      <c r="D78" s="54"/>
    </row>
    <row r="79" spans="2:4" ht="15.75" x14ac:dyDescent="0.25">
      <c r="B79" s="54"/>
      <c r="C79" s="54"/>
      <c r="D79" s="54"/>
    </row>
    <row r="80" spans="2:4" ht="15.75" x14ac:dyDescent="0.25">
      <c r="B80" s="54"/>
      <c r="C80" s="54"/>
      <c r="D80" s="54"/>
    </row>
    <row r="81" spans="2:4" ht="15.75" x14ac:dyDescent="0.25">
      <c r="B81" s="54"/>
      <c r="C81" s="54"/>
      <c r="D81" s="54"/>
    </row>
    <row r="82" spans="2:4" ht="15.75" x14ac:dyDescent="0.25">
      <c r="B82" s="54"/>
      <c r="C82" s="54"/>
      <c r="D82" s="54"/>
    </row>
    <row r="83" spans="2:4" ht="15.75" x14ac:dyDescent="0.25">
      <c r="B83" s="54"/>
      <c r="C83" s="54"/>
      <c r="D83" s="54"/>
    </row>
    <row r="84" spans="2:4" ht="15.75" x14ac:dyDescent="0.25">
      <c r="B84" s="54"/>
      <c r="C84" s="54"/>
      <c r="D84" s="54"/>
    </row>
    <row r="85" spans="2:4" ht="15.75" x14ac:dyDescent="0.25">
      <c r="B85" s="54"/>
      <c r="C85" s="54"/>
      <c r="D85" s="54"/>
    </row>
    <row r="86" spans="2:4" ht="15.75" x14ac:dyDescent="0.25">
      <c r="B86" s="54"/>
      <c r="C86" s="54"/>
      <c r="D86" s="54"/>
    </row>
    <row r="87" spans="2:4" ht="15.75" x14ac:dyDescent="0.25">
      <c r="B87" s="54"/>
      <c r="C87" s="54"/>
      <c r="D87" s="54"/>
    </row>
    <row r="88" spans="2:4" ht="15.75" x14ac:dyDescent="0.25">
      <c r="B88" s="54"/>
      <c r="C88" s="54"/>
      <c r="D88" s="54"/>
    </row>
  </sheetData>
  <dataValidations count="2">
    <dataValidation type="list" allowBlank="1" showInputMessage="1" showErrorMessage="1" sqref="D9:D88" xr:uid="{2DE02DE9-DC38-4818-96F4-93746D021706}">
      <formula1>"Positivo,Negativo"</formula1>
    </dataValidation>
    <dataValidation type="list" allowBlank="1" showInputMessage="1" showErrorMessage="1" sqref="C9:C88" xr:uid="{2459A318-179D-471C-B2C1-42278E35255B}">
      <formula1>"Interno,Externo"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7852F-6A6D-4806-808A-AA608D2E70A2}">
  <sheetPr codeName="Planilha16">
    <tabColor rgb="FFFFFF00"/>
  </sheetPr>
  <dimension ref="B1:K81"/>
  <sheetViews>
    <sheetView workbookViewId="0">
      <selection activeCell="K4" sqref="K4"/>
    </sheetView>
  </sheetViews>
  <sheetFormatPr defaultRowHeight="15" x14ac:dyDescent="0.25"/>
  <cols>
    <col min="2" max="2" width="3" bestFit="1" customWidth="1"/>
    <col min="3" max="3" width="15.7109375" bestFit="1" customWidth="1"/>
    <col min="4" max="4" width="16.5703125" bestFit="1" customWidth="1"/>
    <col min="5" max="5" width="16" bestFit="1" customWidth="1"/>
    <col min="6" max="6" width="16.85546875" bestFit="1" customWidth="1"/>
    <col min="8" max="8" width="15.7109375" bestFit="1" customWidth="1"/>
    <col min="9" max="9" width="16.5703125" bestFit="1" customWidth="1"/>
    <col min="10" max="10" width="16" bestFit="1" customWidth="1"/>
    <col min="11" max="11" width="16.85546875" bestFit="1" customWidth="1"/>
  </cols>
  <sheetData>
    <row r="1" spans="2:11" x14ac:dyDescent="0.25">
      <c r="C1" t="s">
        <v>98</v>
      </c>
      <c r="D1" t="s">
        <v>99</v>
      </c>
      <c r="E1" t="s">
        <v>100</v>
      </c>
      <c r="F1" t="s">
        <v>101</v>
      </c>
      <c r="H1" t="s">
        <v>98</v>
      </c>
      <c r="I1" t="s">
        <v>99</v>
      </c>
      <c r="J1" t="s">
        <v>100</v>
      </c>
      <c r="K1" t="s">
        <v>101</v>
      </c>
    </row>
    <row r="2" spans="2:11" x14ac:dyDescent="0.25">
      <c r="B2">
        <v>1</v>
      </c>
      <c r="C2">
        <f>IF(AND(Descrição!C9="Interno",Descrição!D9="Positivo"),calc!B2,"")</f>
        <v>1</v>
      </c>
      <c r="D2" t="str">
        <f>IF(AND(Descrição!C9="Interno",Descrição!D9="Negativo"),calc!B2,"")</f>
        <v/>
      </c>
      <c r="E2" t="str">
        <f>IF(AND(Descrição!C9="Externo",Descrição!D9="Positivo"),calc!B2,"")</f>
        <v/>
      </c>
      <c r="F2" t="str">
        <f>IF(AND(Descrição!C9="Externo",Descrição!D9="Negativo"),calc!B2,"")</f>
        <v/>
      </c>
      <c r="H2">
        <f>SMALL(C:C,B2)</f>
        <v>1</v>
      </c>
      <c r="I2">
        <f>SMALL(D:D,B2)</f>
        <v>3</v>
      </c>
      <c r="J2">
        <f>SMALL(E:E,B2)</f>
        <v>4</v>
      </c>
      <c r="K2">
        <f>SMALL(F:F,B2)</f>
        <v>2</v>
      </c>
    </row>
    <row r="3" spans="2:11" x14ac:dyDescent="0.25">
      <c r="B3">
        <v>2</v>
      </c>
      <c r="C3" t="str">
        <f>IF(AND(Descrição!C10="Interno",Descrição!D10="Positivo"),calc!B3,"")</f>
        <v/>
      </c>
      <c r="D3" t="str">
        <f>IF(AND(Descrição!C10="Interno",Descrição!D10="Negativo"),calc!B3,"")</f>
        <v/>
      </c>
      <c r="E3" t="str">
        <f>IF(AND(Descrição!C10="Externo",Descrição!D10="Positivo"),calc!B3,"")</f>
        <v/>
      </c>
      <c r="F3">
        <f>IF(AND(Descrição!C10="Externo",Descrição!D10="Negativo"),calc!B3,"")</f>
        <v>2</v>
      </c>
      <c r="H3">
        <f t="shared" ref="H3:H66" si="0">SMALL(C:C,B3)</f>
        <v>5</v>
      </c>
      <c r="I3">
        <f t="shared" ref="I3:I66" si="1">SMALL(D:D,B3)</f>
        <v>7</v>
      </c>
      <c r="J3">
        <f t="shared" ref="J3:J66" si="2">SMALL(E:E,B3)</f>
        <v>8</v>
      </c>
      <c r="K3">
        <f t="shared" ref="K3:K66" si="3">SMALL(F:F,B3)</f>
        <v>6</v>
      </c>
    </row>
    <row r="4" spans="2:11" x14ac:dyDescent="0.25">
      <c r="B4">
        <v>3</v>
      </c>
      <c r="C4" t="str">
        <f>IF(AND(Descrição!C11="Interno",Descrição!D11="Positivo"),calc!B4,"")</f>
        <v/>
      </c>
      <c r="D4">
        <f>IF(AND(Descrição!C11="Interno",Descrição!D11="Negativo"),calc!B4,"")</f>
        <v>3</v>
      </c>
      <c r="E4" t="str">
        <f>IF(AND(Descrição!C11="Externo",Descrição!D11="Positivo"),calc!B4,"")</f>
        <v/>
      </c>
      <c r="F4" t="str">
        <f>IF(AND(Descrição!C11="Externo",Descrição!D11="Negativo"),calc!B4,"")</f>
        <v/>
      </c>
      <c r="H4">
        <f t="shared" si="0"/>
        <v>9</v>
      </c>
      <c r="I4">
        <f t="shared" si="1"/>
        <v>11</v>
      </c>
      <c r="J4">
        <f t="shared" si="2"/>
        <v>12</v>
      </c>
      <c r="K4">
        <f t="shared" si="3"/>
        <v>10</v>
      </c>
    </row>
    <row r="5" spans="2:11" x14ac:dyDescent="0.25">
      <c r="B5">
        <v>4</v>
      </c>
      <c r="C5" t="str">
        <f>IF(AND(Descrição!C12="Interno",Descrição!D12="Positivo"),calc!B5,"")</f>
        <v/>
      </c>
      <c r="D5" t="str">
        <f>IF(AND(Descrição!C12="Interno",Descrição!D12="Negativo"),calc!B5,"")</f>
        <v/>
      </c>
      <c r="E5">
        <f>IF(AND(Descrição!C12="Externo",Descrição!D12="Positivo"),calc!B5,"")</f>
        <v>4</v>
      </c>
      <c r="F5" t="str">
        <f>IF(AND(Descrição!C12="Externo",Descrição!D12="Negativo"),calc!B5,"")</f>
        <v/>
      </c>
      <c r="H5" t="e">
        <f t="shared" si="0"/>
        <v>#NUM!</v>
      </c>
      <c r="I5" t="e">
        <f t="shared" si="1"/>
        <v>#NUM!</v>
      </c>
      <c r="J5" t="e">
        <f t="shared" si="2"/>
        <v>#NUM!</v>
      </c>
      <c r="K5" t="e">
        <f t="shared" si="3"/>
        <v>#NUM!</v>
      </c>
    </row>
    <row r="6" spans="2:11" x14ac:dyDescent="0.25">
      <c r="B6">
        <v>5</v>
      </c>
      <c r="C6">
        <f>IF(AND(Descrição!C13="Interno",Descrição!D13="Positivo"),calc!B6,"")</f>
        <v>5</v>
      </c>
      <c r="D6" t="str">
        <f>IF(AND(Descrição!C13="Interno",Descrição!D13="Negativo"),calc!B6,"")</f>
        <v/>
      </c>
      <c r="E6" t="str">
        <f>IF(AND(Descrição!C13="Externo",Descrição!D13="Positivo"),calc!B6,"")</f>
        <v/>
      </c>
      <c r="F6" t="str">
        <f>IF(AND(Descrição!C13="Externo",Descrição!D13="Negativo"),calc!B6,"")</f>
        <v/>
      </c>
      <c r="H6" t="e">
        <f t="shared" si="0"/>
        <v>#NUM!</v>
      </c>
      <c r="I6" t="e">
        <f t="shared" si="1"/>
        <v>#NUM!</v>
      </c>
      <c r="J6" t="e">
        <f t="shared" si="2"/>
        <v>#NUM!</v>
      </c>
      <c r="K6" t="e">
        <f t="shared" si="3"/>
        <v>#NUM!</v>
      </c>
    </row>
    <row r="7" spans="2:11" x14ac:dyDescent="0.25">
      <c r="B7">
        <v>6</v>
      </c>
      <c r="C7" t="str">
        <f>IF(AND(Descrição!C14="Interno",Descrição!D14="Positivo"),calc!B7,"")</f>
        <v/>
      </c>
      <c r="D7" t="str">
        <f>IF(AND(Descrição!C14="Interno",Descrição!D14="Negativo"),calc!B7,"")</f>
        <v/>
      </c>
      <c r="E7" t="str">
        <f>IF(AND(Descrição!C14="Externo",Descrição!D14="Positivo"),calc!B7,"")</f>
        <v/>
      </c>
      <c r="F7">
        <f>IF(AND(Descrição!C14="Externo",Descrição!D14="Negativo"),calc!B7,"")</f>
        <v>6</v>
      </c>
      <c r="H7" t="e">
        <f t="shared" si="0"/>
        <v>#NUM!</v>
      </c>
      <c r="I7" t="e">
        <f t="shared" si="1"/>
        <v>#NUM!</v>
      </c>
      <c r="J7" t="e">
        <f t="shared" si="2"/>
        <v>#NUM!</v>
      </c>
      <c r="K7" t="e">
        <f t="shared" si="3"/>
        <v>#NUM!</v>
      </c>
    </row>
    <row r="8" spans="2:11" x14ac:dyDescent="0.25">
      <c r="B8">
        <v>7</v>
      </c>
      <c r="C8" t="str">
        <f>IF(AND(Descrição!C15="Interno",Descrição!D15="Positivo"),calc!B8,"")</f>
        <v/>
      </c>
      <c r="D8">
        <f>IF(AND(Descrição!C15="Interno",Descrição!D15="Negativo"),calc!B8,"")</f>
        <v>7</v>
      </c>
      <c r="E8" t="str">
        <f>IF(AND(Descrição!C15="Externo",Descrição!D15="Positivo"),calc!B8,"")</f>
        <v/>
      </c>
      <c r="F8" t="str">
        <f>IF(AND(Descrição!C15="Externo",Descrição!D15="Negativo"),calc!B8,"")</f>
        <v/>
      </c>
      <c r="H8" t="e">
        <f t="shared" si="0"/>
        <v>#NUM!</v>
      </c>
      <c r="I8" t="e">
        <f t="shared" si="1"/>
        <v>#NUM!</v>
      </c>
      <c r="J8" t="e">
        <f t="shared" si="2"/>
        <v>#NUM!</v>
      </c>
      <c r="K8" t="e">
        <f t="shared" si="3"/>
        <v>#NUM!</v>
      </c>
    </row>
    <row r="9" spans="2:11" x14ac:dyDescent="0.25">
      <c r="B9">
        <v>8</v>
      </c>
      <c r="C9" t="str">
        <f>IF(AND(Descrição!C16="Interno",Descrição!D16="Positivo"),calc!B9,"")</f>
        <v/>
      </c>
      <c r="D9" t="str">
        <f>IF(AND(Descrição!C16="Interno",Descrição!D16="Negativo"),calc!B9,"")</f>
        <v/>
      </c>
      <c r="E9">
        <f>IF(AND(Descrição!C16="Externo",Descrição!D16="Positivo"),calc!B9,"")</f>
        <v>8</v>
      </c>
      <c r="F9" t="str">
        <f>IF(AND(Descrição!C16="Externo",Descrição!D16="Negativo"),calc!B9,"")</f>
        <v/>
      </c>
      <c r="H9" t="e">
        <f t="shared" si="0"/>
        <v>#NUM!</v>
      </c>
      <c r="I9" t="e">
        <f t="shared" si="1"/>
        <v>#NUM!</v>
      </c>
      <c r="J9" t="e">
        <f t="shared" si="2"/>
        <v>#NUM!</v>
      </c>
      <c r="K9" t="e">
        <f t="shared" si="3"/>
        <v>#NUM!</v>
      </c>
    </row>
    <row r="10" spans="2:11" x14ac:dyDescent="0.25">
      <c r="B10">
        <v>9</v>
      </c>
      <c r="C10">
        <f>IF(AND(Descrição!C17="Interno",Descrição!D17="Positivo"),calc!B10,"")</f>
        <v>9</v>
      </c>
      <c r="D10" t="str">
        <f>IF(AND(Descrição!C17="Interno",Descrição!D17="Negativo"),calc!B10,"")</f>
        <v/>
      </c>
      <c r="E10" t="str">
        <f>IF(AND(Descrição!C17="Externo",Descrição!D17="Positivo"),calc!B10,"")</f>
        <v/>
      </c>
      <c r="F10" t="str">
        <f>IF(AND(Descrição!C17="Externo",Descrição!D17="Negativo"),calc!B10,"")</f>
        <v/>
      </c>
      <c r="H10" t="e">
        <f t="shared" si="0"/>
        <v>#NUM!</v>
      </c>
      <c r="I10" t="e">
        <f t="shared" si="1"/>
        <v>#NUM!</v>
      </c>
      <c r="J10" t="e">
        <f t="shared" si="2"/>
        <v>#NUM!</v>
      </c>
      <c r="K10" t="e">
        <f t="shared" si="3"/>
        <v>#NUM!</v>
      </c>
    </row>
    <row r="11" spans="2:11" x14ac:dyDescent="0.25">
      <c r="B11">
        <v>10</v>
      </c>
      <c r="C11" t="str">
        <f>IF(AND(Descrição!C18="Interno",Descrição!D18="Positivo"),calc!B11,"")</f>
        <v/>
      </c>
      <c r="D11" t="str">
        <f>IF(AND(Descrição!C18="Interno",Descrição!D18="Negativo"),calc!B11,"")</f>
        <v/>
      </c>
      <c r="E11" t="str">
        <f>IF(AND(Descrição!C18="Externo",Descrição!D18="Positivo"),calc!B11,"")</f>
        <v/>
      </c>
      <c r="F11">
        <f>IF(AND(Descrição!C18="Externo",Descrição!D18="Negativo"),calc!B11,"")</f>
        <v>10</v>
      </c>
      <c r="H11" t="e">
        <f t="shared" si="0"/>
        <v>#NUM!</v>
      </c>
      <c r="I11" t="e">
        <f t="shared" si="1"/>
        <v>#NUM!</v>
      </c>
      <c r="J11" t="e">
        <f t="shared" si="2"/>
        <v>#NUM!</v>
      </c>
      <c r="K11" t="e">
        <f t="shared" si="3"/>
        <v>#NUM!</v>
      </c>
    </row>
    <row r="12" spans="2:11" x14ac:dyDescent="0.25">
      <c r="B12">
        <v>11</v>
      </c>
      <c r="C12" t="str">
        <f>IF(AND(Descrição!C19="Interno",Descrição!D19="Positivo"),calc!B12,"")</f>
        <v/>
      </c>
      <c r="D12">
        <f>IF(AND(Descrição!C19="Interno",Descrição!D19="Negativo"),calc!B12,"")</f>
        <v>11</v>
      </c>
      <c r="E12" t="str">
        <f>IF(AND(Descrição!C19="Externo",Descrição!D19="Positivo"),calc!B12,"")</f>
        <v/>
      </c>
      <c r="F12" t="str">
        <f>IF(AND(Descrição!C19="Externo",Descrição!D19="Negativo"),calc!B12,"")</f>
        <v/>
      </c>
      <c r="H12" t="e">
        <f t="shared" si="0"/>
        <v>#NUM!</v>
      </c>
      <c r="I12" t="e">
        <f t="shared" si="1"/>
        <v>#NUM!</v>
      </c>
      <c r="J12" t="e">
        <f t="shared" si="2"/>
        <v>#NUM!</v>
      </c>
      <c r="K12" t="e">
        <f t="shared" si="3"/>
        <v>#NUM!</v>
      </c>
    </row>
    <row r="13" spans="2:11" x14ac:dyDescent="0.25">
      <c r="B13">
        <v>12</v>
      </c>
      <c r="C13" t="str">
        <f>IF(AND(Descrição!C20="Interno",Descrição!D20="Positivo"),calc!B13,"")</f>
        <v/>
      </c>
      <c r="D13" t="str">
        <f>IF(AND(Descrição!C20="Interno",Descrição!D20="Negativo"),calc!B13,"")</f>
        <v/>
      </c>
      <c r="E13">
        <f>IF(AND(Descrição!C20="Externo",Descrição!D20="Positivo"),calc!B13,"")</f>
        <v>12</v>
      </c>
      <c r="F13" t="str">
        <f>IF(AND(Descrição!C20="Externo",Descrição!D20="Negativo"),calc!B13,"")</f>
        <v/>
      </c>
      <c r="H13" t="e">
        <f t="shared" si="0"/>
        <v>#NUM!</v>
      </c>
      <c r="I13" t="e">
        <f t="shared" si="1"/>
        <v>#NUM!</v>
      </c>
      <c r="J13" t="e">
        <f t="shared" si="2"/>
        <v>#NUM!</v>
      </c>
      <c r="K13" t="e">
        <f t="shared" si="3"/>
        <v>#NUM!</v>
      </c>
    </row>
    <row r="14" spans="2:11" x14ac:dyDescent="0.25">
      <c r="B14">
        <v>13</v>
      </c>
      <c r="C14" t="str">
        <f>IF(AND(Descrição!C21="Interno",Descrição!D21="Positivo"),calc!B14,"")</f>
        <v/>
      </c>
      <c r="D14" t="str">
        <f>IF(AND(Descrição!C21="Interno",Descrição!D21="Negativo"),calc!B14,"")</f>
        <v/>
      </c>
      <c r="E14" t="str">
        <f>IF(AND(Descrição!C21="Externo",Descrição!D21="Positivo"),calc!B14,"")</f>
        <v/>
      </c>
      <c r="F14" t="str">
        <f>IF(AND(Descrição!C21="Externo",Descrição!D21="Negativo"),calc!B14,"")</f>
        <v/>
      </c>
      <c r="H14" t="e">
        <f t="shared" si="0"/>
        <v>#NUM!</v>
      </c>
      <c r="I14" t="e">
        <f t="shared" si="1"/>
        <v>#NUM!</v>
      </c>
      <c r="J14" t="e">
        <f t="shared" si="2"/>
        <v>#NUM!</v>
      </c>
      <c r="K14" t="e">
        <f t="shared" si="3"/>
        <v>#NUM!</v>
      </c>
    </row>
    <row r="15" spans="2:11" x14ac:dyDescent="0.25">
      <c r="B15">
        <v>14</v>
      </c>
      <c r="C15" t="str">
        <f>IF(AND(Descrição!C22="Interno",Descrição!D22="Positivo"),calc!B15,"")</f>
        <v/>
      </c>
      <c r="D15" t="str">
        <f>IF(AND(Descrição!C22="Interno",Descrição!D22="Negativo"),calc!B15,"")</f>
        <v/>
      </c>
      <c r="E15" t="str">
        <f>IF(AND(Descrição!C22="Externo",Descrição!D22="Positivo"),calc!B15,"")</f>
        <v/>
      </c>
      <c r="F15" t="str">
        <f>IF(AND(Descrição!C22="Externo",Descrição!D22="Negativo"),calc!B15,"")</f>
        <v/>
      </c>
      <c r="H15" t="e">
        <f t="shared" si="0"/>
        <v>#NUM!</v>
      </c>
      <c r="I15" t="e">
        <f t="shared" si="1"/>
        <v>#NUM!</v>
      </c>
      <c r="J15" t="e">
        <f t="shared" si="2"/>
        <v>#NUM!</v>
      </c>
      <c r="K15" t="e">
        <f t="shared" si="3"/>
        <v>#NUM!</v>
      </c>
    </row>
    <row r="16" spans="2:11" x14ac:dyDescent="0.25">
      <c r="B16">
        <v>15</v>
      </c>
      <c r="C16" t="str">
        <f>IF(AND(Descrição!C23="Interno",Descrição!D23="Positivo"),calc!B16,"")</f>
        <v/>
      </c>
      <c r="D16" t="str">
        <f>IF(AND(Descrição!C23="Interno",Descrição!D23="Negativo"),calc!B16,"")</f>
        <v/>
      </c>
      <c r="E16" t="str">
        <f>IF(AND(Descrição!C23="Externo",Descrição!D23="Positivo"),calc!B16,"")</f>
        <v/>
      </c>
      <c r="F16" t="str">
        <f>IF(AND(Descrição!C23="Externo",Descrição!D23="Negativo"),calc!B16,"")</f>
        <v/>
      </c>
      <c r="H16" t="e">
        <f t="shared" si="0"/>
        <v>#NUM!</v>
      </c>
      <c r="I16" t="e">
        <f t="shared" si="1"/>
        <v>#NUM!</v>
      </c>
      <c r="J16" t="e">
        <f t="shared" si="2"/>
        <v>#NUM!</v>
      </c>
      <c r="K16" t="e">
        <f t="shared" si="3"/>
        <v>#NUM!</v>
      </c>
    </row>
    <row r="17" spans="2:11" x14ac:dyDescent="0.25">
      <c r="B17">
        <v>16</v>
      </c>
      <c r="C17" t="str">
        <f>IF(AND(Descrição!C24="Interno",Descrição!D24="Positivo"),calc!B17,"")</f>
        <v/>
      </c>
      <c r="D17" t="str">
        <f>IF(AND(Descrição!C24="Interno",Descrição!D24="Negativo"),calc!B17,"")</f>
        <v/>
      </c>
      <c r="E17" t="str">
        <f>IF(AND(Descrição!C24="Externo",Descrição!D24="Positivo"),calc!B17,"")</f>
        <v/>
      </c>
      <c r="F17" t="str">
        <f>IF(AND(Descrição!C24="Externo",Descrição!D24="Negativo"),calc!B17,"")</f>
        <v/>
      </c>
      <c r="H17" t="e">
        <f t="shared" si="0"/>
        <v>#NUM!</v>
      </c>
      <c r="I17" t="e">
        <f t="shared" si="1"/>
        <v>#NUM!</v>
      </c>
      <c r="J17" t="e">
        <f t="shared" si="2"/>
        <v>#NUM!</v>
      </c>
      <c r="K17" t="e">
        <f t="shared" si="3"/>
        <v>#NUM!</v>
      </c>
    </row>
    <row r="18" spans="2:11" x14ac:dyDescent="0.25">
      <c r="B18">
        <v>17</v>
      </c>
      <c r="C18" t="str">
        <f>IF(AND(Descrição!C25="Interno",Descrição!D25="Positivo"),calc!B18,"")</f>
        <v/>
      </c>
      <c r="D18" t="str">
        <f>IF(AND(Descrição!C25="Interno",Descrição!D25="Negativo"),calc!B18,"")</f>
        <v/>
      </c>
      <c r="E18" t="str">
        <f>IF(AND(Descrição!C25="Externo",Descrição!D25="Positivo"),calc!B18,"")</f>
        <v/>
      </c>
      <c r="F18" t="str">
        <f>IF(AND(Descrição!C25="Externo",Descrição!D25="Negativo"),calc!B18,"")</f>
        <v/>
      </c>
      <c r="H18" t="e">
        <f t="shared" si="0"/>
        <v>#NUM!</v>
      </c>
      <c r="I18" t="e">
        <f t="shared" si="1"/>
        <v>#NUM!</v>
      </c>
      <c r="J18" t="e">
        <f t="shared" si="2"/>
        <v>#NUM!</v>
      </c>
      <c r="K18" t="e">
        <f t="shared" si="3"/>
        <v>#NUM!</v>
      </c>
    </row>
    <row r="19" spans="2:11" x14ac:dyDescent="0.25">
      <c r="B19">
        <v>18</v>
      </c>
      <c r="C19" t="str">
        <f>IF(AND(Descrição!C26="Interno",Descrição!D26="Positivo"),calc!B19,"")</f>
        <v/>
      </c>
      <c r="D19" t="str">
        <f>IF(AND(Descrição!C26="Interno",Descrição!D26="Negativo"),calc!B19,"")</f>
        <v/>
      </c>
      <c r="E19" t="str">
        <f>IF(AND(Descrição!C26="Externo",Descrição!D26="Positivo"),calc!B19,"")</f>
        <v/>
      </c>
      <c r="F19" t="str">
        <f>IF(AND(Descrição!C26="Externo",Descrição!D26="Negativo"),calc!B19,"")</f>
        <v/>
      </c>
      <c r="H19" t="e">
        <f t="shared" si="0"/>
        <v>#NUM!</v>
      </c>
      <c r="I19" t="e">
        <f t="shared" si="1"/>
        <v>#NUM!</v>
      </c>
      <c r="J19" t="e">
        <f t="shared" si="2"/>
        <v>#NUM!</v>
      </c>
      <c r="K19" t="e">
        <f t="shared" si="3"/>
        <v>#NUM!</v>
      </c>
    </row>
    <row r="20" spans="2:11" x14ac:dyDescent="0.25">
      <c r="B20">
        <v>19</v>
      </c>
      <c r="C20" t="str">
        <f>IF(AND(Descrição!C27="Interno",Descrição!D27="Positivo"),calc!B20,"")</f>
        <v/>
      </c>
      <c r="D20" t="str">
        <f>IF(AND(Descrição!C27="Interno",Descrição!D27="Negativo"),calc!B20,"")</f>
        <v/>
      </c>
      <c r="E20" t="str">
        <f>IF(AND(Descrição!C27="Externo",Descrição!D27="Positivo"),calc!B20,"")</f>
        <v/>
      </c>
      <c r="F20" t="str">
        <f>IF(AND(Descrição!C27="Externo",Descrição!D27="Negativo"),calc!B20,"")</f>
        <v/>
      </c>
      <c r="H20" t="e">
        <f t="shared" si="0"/>
        <v>#NUM!</v>
      </c>
      <c r="I20" t="e">
        <f t="shared" si="1"/>
        <v>#NUM!</v>
      </c>
      <c r="J20" t="e">
        <f t="shared" si="2"/>
        <v>#NUM!</v>
      </c>
      <c r="K20" t="e">
        <f t="shared" si="3"/>
        <v>#NUM!</v>
      </c>
    </row>
    <row r="21" spans="2:11" x14ac:dyDescent="0.25">
      <c r="B21">
        <v>20</v>
      </c>
      <c r="C21" t="str">
        <f>IF(AND(Descrição!C28="Interno",Descrição!D28="Positivo"),calc!B21,"")</f>
        <v/>
      </c>
      <c r="D21" t="str">
        <f>IF(AND(Descrição!C28="Interno",Descrição!D28="Negativo"),calc!B21,"")</f>
        <v/>
      </c>
      <c r="E21" t="str">
        <f>IF(AND(Descrição!C28="Externo",Descrição!D28="Positivo"),calc!B21,"")</f>
        <v/>
      </c>
      <c r="F21" t="str">
        <f>IF(AND(Descrição!C28="Externo",Descrição!D28="Negativo"),calc!B21,"")</f>
        <v/>
      </c>
      <c r="H21" t="e">
        <f t="shared" si="0"/>
        <v>#NUM!</v>
      </c>
      <c r="I21" t="e">
        <f t="shared" si="1"/>
        <v>#NUM!</v>
      </c>
      <c r="J21" t="e">
        <f t="shared" si="2"/>
        <v>#NUM!</v>
      </c>
      <c r="K21" t="e">
        <f t="shared" si="3"/>
        <v>#NUM!</v>
      </c>
    </row>
    <row r="22" spans="2:11" x14ac:dyDescent="0.25">
      <c r="B22">
        <v>21</v>
      </c>
      <c r="C22" t="str">
        <f>IF(AND(Descrição!C29="Interno",Descrição!D29="Positivo"),calc!B22,"")</f>
        <v/>
      </c>
      <c r="D22" t="str">
        <f>IF(AND(Descrição!C29="Interno",Descrição!D29="Negativo"),calc!B22,"")</f>
        <v/>
      </c>
      <c r="E22" t="str">
        <f>IF(AND(Descrição!C29="Externo",Descrição!D29="Positivo"),calc!B22,"")</f>
        <v/>
      </c>
      <c r="F22" t="str">
        <f>IF(AND(Descrição!C29="Externo",Descrição!D29="Negativo"),calc!B22,"")</f>
        <v/>
      </c>
      <c r="H22" t="e">
        <f t="shared" si="0"/>
        <v>#NUM!</v>
      </c>
      <c r="I22" t="e">
        <f t="shared" si="1"/>
        <v>#NUM!</v>
      </c>
      <c r="J22" t="e">
        <f t="shared" si="2"/>
        <v>#NUM!</v>
      </c>
      <c r="K22" t="e">
        <f t="shared" si="3"/>
        <v>#NUM!</v>
      </c>
    </row>
    <row r="23" spans="2:11" x14ac:dyDescent="0.25">
      <c r="B23">
        <v>22</v>
      </c>
      <c r="C23" t="str">
        <f>IF(AND(Descrição!C30="Interno",Descrição!D30="Positivo"),calc!B23,"")</f>
        <v/>
      </c>
      <c r="D23" t="str">
        <f>IF(AND(Descrição!C30="Interno",Descrição!D30="Negativo"),calc!B23,"")</f>
        <v/>
      </c>
      <c r="E23" t="str">
        <f>IF(AND(Descrição!C30="Externo",Descrição!D30="Positivo"),calc!B23,"")</f>
        <v/>
      </c>
      <c r="F23" t="str">
        <f>IF(AND(Descrição!C30="Externo",Descrição!D30="Negativo"),calc!B23,"")</f>
        <v/>
      </c>
      <c r="H23" t="e">
        <f t="shared" si="0"/>
        <v>#NUM!</v>
      </c>
      <c r="I23" t="e">
        <f t="shared" si="1"/>
        <v>#NUM!</v>
      </c>
      <c r="J23" t="e">
        <f t="shared" si="2"/>
        <v>#NUM!</v>
      </c>
      <c r="K23" t="e">
        <f t="shared" si="3"/>
        <v>#NUM!</v>
      </c>
    </row>
    <row r="24" spans="2:11" x14ac:dyDescent="0.25">
      <c r="B24">
        <v>23</v>
      </c>
      <c r="C24" t="str">
        <f>IF(AND(Descrição!C31="Interno",Descrição!D31="Positivo"),calc!B24,"")</f>
        <v/>
      </c>
      <c r="D24" t="str">
        <f>IF(AND(Descrição!C31="Interno",Descrição!D31="Negativo"),calc!B24,"")</f>
        <v/>
      </c>
      <c r="E24" t="str">
        <f>IF(AND(Descrição!C31="Externo",Descrição!D31="Positivo"),calc!B24,"")</f>
        <v/>
      </c>
      <c r="F24" t="str">
        <f>IF(AND(Descrição!C31="Externo",Descrição!D31="Negativo"),calc!B24,"")</f>
        <v/>
      </c>
      <c r="H24" t="e">
        <f t="shared" si="0"/>
        <v>#NUM!</v>
      </c>
      <c r="I24" t="e">
        <f t="shared" si="1"/>
        <v>#NUM!</v>
      </c>
      <c r="J24" t="e">
        <f t="shared" si="2"/>
        <v>#NUM!</v>
      </c>
      <c r="K24" t="e">
        <f t="shared" si="3"/>
        <v>#NUM!</v>
      </c>
    </row>
    <row r="25" spans="2:11" x14ac:dyDescent="0.25">
      <c r="B25">
        <v>24</v>
      </c>
      <c r="C25" t="str">
        <f>IF(AND(Descrição!C32="Interno",Descrição!D32="Positivo"),calc!B25,"")</f>
        <v/>
      </c>
      <c r="D25" t="str">
        <f>IF(AND(Descrição!C32="Interno",Descrição!D32="Negativo"),calc!B25,"")</f>
        <v/>
      </c>
      <c r="E25" t="str">
        <f>IF(AND(Descrição!C32="Externo",Descrição!D32="Positivo"),calc!B25,"")</f>
        <v/>
      </c>
      <c r="F25" t="str">
        <f>IF(AND(Descrição!C32="Externo",Descrição!D32="Negativo"),calc!B25,"")</f>
        <v/>
      </c>
      <c r="H25" t="e">
        <f t="shared" si="0"/>
        <v>#NUM!</v>
      </c>
      <c r="I25" t="e">
        <f t="shared" si="1"/>
        <v>#NUM!</v>
      </c>
      <c r="J25" t="e">
        <f t="shared" si="2"/>
        <v>#NUM!</v>
      </c>
      <c r="K25" t="e">
        <f t="shared" si="3"/>
        <v>#NUM!</v>
      </c>
    </row>
    <row r="26" spans="2:11" x14ac:dyDescent="0.25">
      <c r="B26">
        <v>25</v>
      </c>
      <c r="C26" t="str">
        <f>IF(AND(Descrição!C33="Interno",Descrição!D33="Positivo"),calc!B26,"")</f>
        <v/>
      </c>
      <c r="D26" t="str">
        <f>IF(AND(Descrição!C33="Interno",Descrição!D33="Negativo"),calc!B26,"")</f>
        <v/>
      </c>
      <c r="E26" t="str">
        <f>IF(AND(Descrição!C33="Externo",Descrição!D33="Positivo"),calc!B26,"")</f>
        <v/>
      </c>
      <c r="F26" t="str">
        <f>IF(AND(Descrição!C33="Externo",Descrição!D33="Negativo"),calc!B26,"")</f>
        <v/>
      </c>
      <c r="H26" t="e">
        <f t="shared" si="0"/>
        <v>#NUM!</v>
      </c>
      <c r="I26" t="e">
        <f t="shared" si="1"/>
        <v>#NUM!</v>
      </c>
      <c r="J26" t="e">
        <f t="shared" si="2"/>
        <v>#NUM!</v>
      </c>
      <c r="K26" t="e">
        <f t="shared" si="3"/>
        <v>#NUM!</v>
      </c>
    </row>
    <row r="27" spans="2:11" x14ac:dyDescent="0.25">
      <c r="B27">
        <v>26</v>
      </c>
      <c r="C27" t="str">
        <f>IF(AND(Descrição!C34="Interno",Descrição!D34="Positivo"),calc!B27,"")</f>
        <v/>
      </c>
      <c r="D27" t="str">
        <f>IF(AND(Descrição!C34="Interno",Descrição!D34="Negativo"),calc!B27,"")</f>
        <v/>
      </c>
      <c r="E27" t="str">
        <f>IF(AND(Descrição!C34="Externo",Descrição!D34="Positivo"),calc!B27,"")</f>
        <v/>
      </c>
      <c r="F27" t="str">
        <f>IF(AND(Descrição!C34="Externo",Descrição!D34="Negativo"),calc!B27,"")</f>
        <v/>
      </c>
      <c r="H27" t="e">
        <f t="shared" si="0"/>
        <v>#NUM!</v>
      </c>
      <c r="I27" t="e">
        <f t="shared" si="1"/>
        <v>#NUM!</v>
      </c>
      <c r="J27" t="e">
        <f t="shared" si="2"/>
        <v>#NUM!</v>
      </c>
      <c r="K27" t="e">
        <f t="shared" si="3"/>
        <v>#NUM!</v>
      </c>
    </row>
    <row r="28" spans="2:11" x14ac:dyDescent="0.25">
      <c r="B28">
        <v>27</v>
      </c>
      <c r="C28" t="str">
        <f>IF(AND(Descrição!C35="Interno",Descrição!D35="Positivo"),calc!B28,"")</f>
        <v/>
      </c>
      <c r="D28" t="str">
        <f>IF(AND(Descrição!C35="Interno",Descrição!D35="Negativo"),calc!B28,"")</f>
        <v/>
      </c>
      <c r="E28" t="str">
        <f>IF(AND(Descrição!C35="Externo",Descrição!D35="Positivo"),calc!B28,"")</f>
        <v/>
      </c>
      <c r="F28" t="str">
        <f>IF(AND(Descrição!C35="Externo",Descrição!D35="Negativo"),calc!B28,"")</f>
        <v/>
      </c>
      <c r="H28" t="e">
        <f t="shared" si="0"/>
        <v>#NUM!</v>
      </c>
      <c r="I28" t="e">
        <f t="shared" si="1"/>
        <v>#NUM!</v>
      </c>
      <c r="J28" t="e">
        <f t="shared" si="2"/>
        <v>#NUM!</v>
      </c>
      <c r="K28" t="e">
        <f t="shared" si="3"/>
        <v>#NUM!</v>
      </c>
    </row>
    <row r="29" spans="2:11" x14ac:dyDescent="0.25">
      <c r="B29">
        <v>28</v>
      </c>
      <c r="C29" t="str">
        <f>IF(AND(Descrição!C36="Interno",Descrição!D36="Positivo"),calc!B29,"")</f>
        <v/>
      </c>
      <c r="D29" t="str">
        <f>IF(AND(Descrição!C36="Interno",Descrição!D36="Negativo"),calc!B29,"")</f>
        <v/>
      </c>
      <c r="E29" t="str">
        <f>IF(AND(Descrição!C36="Externo",Descrição!D36="Positivo"),calc!B29,"")</f>
        <v/>
      </c>
      <c r="F29" t="str">
        <f>IF(AND(Descrição!C36="Externo",Descrição!D36="Negativo"),calc!B29,"")</f>
        <v/>
      </c>
      <c r="H29" t="e">
        <f t="shared" si="0"/>
        <v>#NUM!</v>
      </c>
      <c r="I29" t="e">
        <f t="shared" si="1"/>
        <v>#NUM!</v>
      </c>
      <c r="J29" t="e">
        <f t="shared" si="2"/>
        <v>#NUM!</v>
      </c>
      <c r="K29" t="e">
        <f t="shared" si="3"/>
        <v>#NUM!</v>
      </c>
    </row>
    <row r="30" spans="2:11" x14ac:dyDescent="0.25">
      <c r="B30">
        <v>29</v>
      </c>
      <c r="C30" t="str">
        <f>IF(AND(Descrição!C37="Interno",Descrição!D37="Positivo"),calc!B30,"")</f>
        <v/>
      </c>
      <c r="D30" t="str">
        <f>IF(AND(Descrição!C37="Interno",Descrição!D37="Negativo"),calc!B30,"")</f>
        <v/>
      </c>
      <c r="E30" t="str">
        <f>IF(AND(Descrição!C37="Externo",Descrição!D37="Positivo"),calc!B30,"")</f>
        <v/>
      </c>
      <c r="F30" t="str">
        <f>IF(AND(Descrição!C37="Externo",Descrição!D37="Negativo"),calc!B30,"")</f>
        <v/>
      </c>
      <c r="H30" t="e">
        <f t="shared" si="0"/>
        <v>#NUM!</v>
      </c>
      <c r="I30" t="e">
        <f t="shared" si="1"/>
        <v>#NUM!</v>
      </c>
      <c r="J30" t="e">
        <f t="shared" si="2"/>
        <v>#NUM!</v>
      </c>
      <c r="K30" t="e">
        <f t="shared" si="3"/>
        <v>#NUM!</v>
      </c>
    </row>
    <row r="31" spans="2:11" x14ac:dyDescent="0.25">
      <c r="B31">
        <v>30</v>
      </c>
      <c r="C31" t="str">
        <f>IF(AND(Descrição!C38="Interno",Descrição!D38="Positivo"),calc!B31,"")</f>
        <v/>
      </c>
      <c r="D31" t="str">
        <f>IF(AND(Descrição!C38="Interno",Descrição!D38="Negativo"),calc!B31,"")</f>
        <v/>
      </c>
      <c r="E31" t="str">
        <f>IF(AND(Descrição!C38="Externo",Descrição!D38="Positivo"),calc!B31,"")</f>
        <v/>
      </c>
      <c r="F31" t="str">
        <f>IF(AND(Descrição!C38="Externo",Descrição!D38="Negativo"),calc!B31,"")</f>
        <v/>
      </c>
      <c r="H31" t="e">
        <f t="shared" si="0"/>
        <v>#NUM!</v>
      </c>
      <c r="I31" t="e">
        <f t="shared" si="1"/>
        <v>#NUM!</v>
      </c>
      <c r="J31" t="e">
        <f t="shared" si="2"/>
        <v>#NUM!</v>
      </c>
      <c r="K31" t="e">
        <f t="shared" si="3"/>
        <v>#NUM!</v>
      </c>
    </row>
    <row r="32" spans="2:11" x14ac:dyDescent="0.25">
      <c r="B32">
        <v>31</v>
      </c>
      <c r="C32" t="str">
        <f>IF(AND(Descrição!C39="Interno",Descrição!D39="Positivo"),calc!B32,"")</f>
        <v/>
      </c>
      <c r="D32" t="str">
        <f>IF(AND(Descrição!C39="Interno",Descrição!D39="Negativo"),calc!B32,"")</f>
        <v/>
      </c>
      <c r="E32" t="str">
        <f>IF(AND(Descrição!C39="Externo",Descrição!D39="Positivo"),calc!B32,"")</f>
        <v/>
      </c>
      <c r="F32" t="str">
        <f>IF(AND(Descrição!C39="Externo",Descrição!D39="Negativo"),calc!B32,"")</f>
        <v/>
      </c>
      <c r="H32" t="e">
        <f t="shared" si="0"/>
        <v>#NUM!</v>
      </c>
      <c r="I32" t="e">
        <f t="shared" si="1"/>
        <v>#NUM!</v>
      </c>
      <c r="J32" t="e">
        <f t="shared" si="2"/>
        <v>#NUM!</v>
      </c>
      <c r="K32" t="e">
        <f t="shared" si="3"/>
        <v>#NUM!</v>
      </c>
    </row>
    <row r="33" spans="2:11" x14ac:dyDescent="0.25">
      <c r="B33">
        <v>32</v>
      </c>
      <c r="C33" t="str">
        <f>IF(AND(Descrição!C40="Interno",Descrição!D40="Positivo"),calc!B33,"")</f>
        <v/>
      </c>
      <c r="D33" t="str">
        <f>IF(AND(Descrição!C40="Interno",Descrição!D40="Negativo"),calc!B33,"")</f>
        <v/>
      </c>
      <c r="E33" t="str">
        <f>IF(AND(Descrição!C40="Externo",Descrição!D40="Positivo"),calc!B33,"")</f>
        <v/>
      </c>
      <c r="F33" t="str">
        <f>IF(AND(Descrição!C40="Externo",Descrição!D40="Negativo"),calc!B33,"")</f>
        <v/>
      </c>
      <c r="H33" t="e">
        <f t="shared" si="0"/>
        <v>#NUM!</v>
      </c>
      <c r="I33" t="e">
        <f t="shared" si="1"/>
        <v>#NUM!</v>
      </c>
      <c r="J33" t="e">
        <f t="shared" si="2"/>
        <v>#NUM!</v>
      </c>
      <c r="K33" t="e">
        <f t="shared" si="3"/>
        <v>#NUM!</v>
      </c>
    </row>
    <row r="34" spans="2:11" x14ac:dyDescent="0.25">
      <c r="B34">
        <v>33</v>
      </c>
      <c r="C34" t="str">
        <f>IF(AND(Descrição!C41="Interno",Descrição!D41="Positivo"),calc!B34,"")</f>
        <v/>
      </c>
      <c r="D34" t="str">
        <f>IF(AND(Descrição!C41="Interno",Descrição!D41="Negativo"),calc!B34,"")</f>
        <v/>
      </c>
      <c r="E34" t="str">
        <f>IF(AND(Descrição!C41="Externo",Descrição!D41="Positivo"),calc!B34,"")</f>
        <v/>
      </c>
      <c r="F34" t="str">
        <f>IF(AND(Descrição!C41="Externo",Descrição!D41="Negativo"),calc!B34,"")</f>
        <v/>
      </c>
      <c r="H34" t="e">
        <f t="shared" si="0"/>
        <v>#NUM!</v>
      </c>
      <c r="I34" t="e">
        <f t="shared" si="1"/>
        <v>#NUM!</v>
      </c>
      <c r="J34" t="e">
        <f t="shared" si="2"/>
        <v>#NUM!</v>
      </c>
      <c r="K34" t="e">
        <f t="shared" si="3"/>
        <v>#NUM!</v>
      </c>
    </row>
    <row r="35" spans="2:11" x14ac:dyDescent="0.25">
      <c r="B35">
        <v>34</v>
      </c>
      <c r="C35" t="str">
        <f>IF(AND(Descrição!C42="Interno",Descrição!D42="Positivo"),calc!B35,"")</f>
        <v/>
      </c>
      <c r="D35" t="str">
        <f>IF(AND(Descrição!C42="Interno",Descrição!D42="Negativo"),calc!B35,"")</f>
        <v/>
      </c>
      <c r="E35" t="str">
        <f>IF(AND(Descrição!C42="Externo",Descrição!D42="Positivo"),calc!B35,"")</f>
        <v/>
      </c>
      <c r="F35" t="str">
        <f>IF(AND(Descrição!C42="Externo",Descrição!D42="Negativo"),calc!B35,"")</f>
        <v/>
      </c>
      <c r="H35" t="e">
        <f t="shared" si="0"/>
        <v>#NUM!</v>
      </c>
      <c r="I35" t="e">
        <f t="shared" si="1"/>
        <v>#NUM!</v>
      </c>
      <c r="J35" t="e">
        <f t="shared" si="2"/>
        <v>#NUM!</v>
      </c>
      <c r="K35" t="e">
        <f t="shared" si="3"/>
        <v>#NUM!</v>
      </c>
    </row>
    <row r="36" spans="2:11" x14ac:dyDescent="0.25">
      <c r="B36">
        <v>35</v>
      </c>
      <c r="C36" t="str">
        <f>IF(AND(Descrição!C43="Interno",Descrição!D43="Positivo"),calc!B36,"")</f>
        <v/>
      </c>
      <c r="D36" t="str">
        <f>IF(AND(Descrição!C43="Interno",Descrição!D43="Negativo"),calc!B36,"")</f>
        <v/>
      </c>
      <c r="E36" t="str">
        <f>IF(AND(Descrição!C43="Externo",Descrição!D43="Positivo"),calc!B36,"")</f>
        <v/>
      </c>
      <c r="F36" t="str">
        <f>IF(AND(Descrição!C43="Externo",Descrição!D43="Negativo"),calc!B36,"")</f>
        <v/>
      </c>
      <c r="H36" t="e">
        <f t="shared" si="0"/>
        <v>#NUM!</v>
      </c>
      <c r="I36" t="e">
        <f t="shared" si="1"/>
        <v>#NUM!</v>
      </c>
      <c r="J36" t="e">
        <f t="shared" si="2"/>
        <v>#NUM!</v>
      </c>
      <c r="K36" t="e">
        <f t="shared" si="3"/>
        <v>#NUM!</v>
      </c>
    </row>
    <row r="37" spans="2:11" x14ac:dyDescent="0.25">
      <c r="B37">
        <v>36</v>
      </c>
      <c r="C37" t="str">
        <f>IF(AND(Descrição!C44="Interno",Descrição!D44="Positivo"),calc!B37,"")</f>
        <v/>
      </c>
      <c r="D37" t="str">
        <f>IF(AND(Descrição!C44="Interno",Descrição!D44="Negativo"),calc!B37,"")</f>
        <v/>
      </c>
      <c r="E37" t="str">
        <f>IF(AND(Descrição!C44="Externo",Descrição!D44="Positivo"),calc!B37,"")</f>
        <v/>
      </c>
      <c r="F37" t="str">
        <f>IF(AND(Descrição!C44="Externo",Descrição!D44="Negativo"),calc!B37,"")</f>
        <v/>
      </c>
      <c r="H37" t="e">
        <f t="shared" si="0"/>
        <v>#NUM!</v>
      </c>
      <c r="I37" t="e">
        <f t="shared" si="1"/>
        <v>#NUM!</v>
      </c>
      <c r="J37" t="e">
        <f t="shared" si="2"/>
        <v>#NUM!</v>
      </c>
      <c r="K37" t="e">
        <f t="shared" si="3"/>
        <v>#NUM!</v>
      </c>
    </row>
    <row r="38" spans="2:11" x14ac:dyDescent="0.25">
      <c r="B38">
        <v>37</v>
      </c>
      <c r="C38" t="str">
        <f>IF(AND(Descrição!C45="Interno",Descrição!D45="Positivo"),calc!B38,"")</f>
        <v/>
      </c>
      <c r="D38" t="str">
        <f>IF(AND(Descrição!C45="Interno",Descrição!D45="Negativo"),calc!B38,"")</f>
        <v/>
      </c>
      <c r="E38" t="str">
        <f>IF(AND(Descrição!C45="Externo",Descrição!D45="Positivo"),calc!B38,"")</f>
        <v/>
      </c>
      <c r="F38" t="str">
        <f>IF(AND(Descrição!C45="Externo",Descrição!D45="Negativo"),calc!B38,"")</f>
        <v/>
      </c>
      <c r="H38" t="e">
        <f t="shared" si="0"/>
        <v>#NUM!</v>
      </c>
      <c r="I38" t="e">
        <f t="shared" si="1"/>
        <v>#NUM!</v>
      </c>
      <c r="J38" t="e">
        <f t="shared" si="2"/>
        <v>#NUM!</v>
      </c>
      <c r="K38" t="e">
        <f t="shared" si="3"/>
        <v>#NUM!</v>
      </c>
    </row>
    <row r="39" spans="2:11" x14ac:dyDescent="0.25">
      <c r="B39">
        <v>38</v>
      </c>
      <c r="C39" t="str">
        <f>IF(AND(Descrição!C46="Interno",Descrição!D46="Positivo"),calc!B39,"")</f>
        <v/>
      </c>
      <c r="D39" t="str">
        <f>IF(AND(Descrição!C46="Interno",Descrição!D46="Negativo"),calc!B39,"")</f>
        <v/>
      </c>
      <c r="E39" t="str">
        <f>IF(AND(Descrição!C46="Externo",Descrição!D46="Positivo"),calc!B39,"")</f>
        <v/>
      </c>
      <c r="F39" t="str">
        <f>IF(AND(Descrição!C46="Externo",Descrição!D46="Negativo"),calc!B39,"")</f>
        <v/>
      </c>
      <c r="H39" t="e">
        <f t="shared" si="0"/>
        <v>#NUM!</v>
      </c>
      <c r="I39" t="e">
        <f t="shared" si="1"/>
        <v>#NUM!</v>
      </c>
      <c r="J39" t="e">
        <f t="shared" si="2"/>
        <v>#NUM!</v>
      </c>
      <c r="K39" t="e">
        <f t="shared" si="3"/>
        <v>#NUM!</v>
      </c>
    </row>
    <row r="40" spans="2:11" x14ac:dyDescent="0.25">
      <c r="B40">
        <v>39</v>
      </c>
      <c r="C40" t="str">
        <f>IF(AND(Descrição!C47="Interno",Descrição!D47="Positivo"),calc!B40,"")</f>
        <v/>
      </c>
      <c r="D40" t="str">
        <f>IF(AND(Descrição!C47="Interno",Descrição!D47="Negativo"),calc!B40,"")</f>
        <v/>
      </c>
      <c r="E40" t="str">
        <f>IF(AND(Descrição!C47="Externo",Descrição!D47="Positivo"),calc!B40,"")</f>
        <v/>
      </c>
      <c r="F40" t="str">
        <f>IF(AND(Descrição!C47="Externo",Descrição!D47="Negativo"),calc!B40,"")</f>
        <v/>
      </c>
      <c r="H40" t="e">
        <f t="shared" si="0"/>
        <v>#NUM!</v>
      </c>
      <c r="I40" t="e">
        <f t="shared" si="1"/>
        <v>#NUM!</v>
      </c>
      <c r="J40" t="e">
        <f t="shared" si="2"/>
        <v>#NUM!</v>
      </c>
      <c r="K40" t="e">
        <f t="shared" si="3"/>
        <v>#NUM!</v>
      </c>
    </row>
    <row r="41" spans="2:11" x14ac:dyDescent="0.25">
      <c r="B41">
        <v>40</v>
      </c>
      <c r="C41" t="str">
        <f>IF(AND(Descrição!C48="Interno",Descrição!D48="Positivo"),calc!B41,"")</f>
        <v/>
      </c>
      <c r="D41" t="str">
        <f>IF(AND(Descrição!C48="Interno",Descrição!D48="Negativo"),calc!B41,"")</f>
        <v/>
      </c>
      <c r="E41" t="str">
        <f>IF(AND(Descrição!C48="Externo",Descrição!D48="Positivo"),calc!B41,"")</f>
        <v/>
      </c>
      <c r="F41" t="str">
        <f>IF(AND(Descrição!C48="Externo",Descrição!D48="Negativo"),calc!B41,"")</f>
        <v/>
      </c>
      <c r="H41" t="e">
        <f t="shared" si="0"/>
        <v>#NUM!</v>
      </c>
      <c r="I41" t="e">
        <f t="shared" si="1"/>
        <v>#NUM!</v>
      </c>
      <c r="J41" t="e">
        <f t="shared" si="2"/>
        <v>#NUM!</v>
      </c>
      <c r="K41" t="e">
        <f t="shared" si="3"/>
        <v>#NUM!</v>
      </c>
    </row>
    <row r="42" spans="2:11" x14ac:dyDescent="0.25">
      <c r="B42">
        <v>41</v>
      </c>
      <c r="C42" t="str">
        <f>IF(AND(Descrição!C49="Interno",Descrição!D49="Positivo"),calc!B42,"")</f>
        <v/>
      </c>
      <c r="D42" t="str">
        <f>IF(AND(Descrição!C49="Interno",Descrição!D49="Negativo"),calc!B42,"")</f>
        <v/>
      </c>
      <c r="E42" t="str">
        <f>IF(AND(Descrição!C49="Externo",Descrição!D49="Positivo"),calc!B42,"")</f>
        <v/>
      </c>
      <c r="F42" t="str">
        <f>IF(AND(Descrição!C49="Externo",Descrição!D49="Negativo"),calc!B42,"")</f>
        <v/>
      </c>
      <c r="H42" t="e">
        <f t="shared" si="0"/>
        <v>#NUM!</v>
      </c>
      <c r="I42" t="e">
        <f t="shared" si="1"/>
        <v>#NUM!</v>
      </c>
      <c r="J42" t="e">
        <f t="shared" si="2"/>
        <v>#NUM!</v>
      </c>
      <c r="K42" t="e">
        <f t="shared" si="3"/>
        <v>#NUM!</v>
      </c>
    </row>
    <row r="43" spans="2:11" x14ac:dyDescent="0.25">
      <c r="B43">
        <v>42</v>
      </c>
      <c r="C43" t="str">
        <f>IF(AND(Descrição!C50="Interno",Descrição!D50="Positivo"),calc!B43,"")</f>
        <v/>
      </c>
      <c r="D43" t="str">
        <f>IF(AND(Descrição!C50="Interno",Descrição!D50="Negativo"),calc!B43,"")</f>
        <v/>
      </c>
      <c r="E43" t="str">
        <f>IF(AND(Descrição!C50="Externo",Descrição!D50="Positivo"),calc!B43,"")</f>
        <v/>
      </c>
      <c r="F43" t="str">
        <f>IF(AND(Descrição!C50="Externo",Descrição!D50="Negativo"),calc!B43,"")</f>
        <v/>
      </c>
      <c r="H43" t="e">
        <f t="shared" si="0"/>
        <v>#NUM!</v>
      </c>
      <c r="I43" t="e">
        <f t="shared" si="1"/>
        <v>#NUM!</v>
      </c>
      <c r="J43" t="e">
        <f t="shared" si="2"/>
        <v>#NUM!</v>
      </c>
      <c r="K43" t="e">
        <f t="shared" si="3"/>
        <v>#NUM!</v>
      </c>
    </row>
    <row r="44" spans="2:11" x14ac:dyDescent="0.25">
      <c r="B44">
        <v>43</v>
      </c>
      <c r="C44" t="str">
        <f>IF(AND(Descrição!C51="Interno",Descrição!D51="Positivo"),calc!B44,"")</f>
        <v/>
      </c>
      <c r="D44" t="str">
        <f>IF(AND(Descrição!C51="Interno",Descrição!D51="Negativo"),calc!B44,"")</f>
        <v/>
      </c>
      <c r="E44" t="str">
        <f>IF(AND(Descrição!C51="Externo",Descrição!D51="Positivo"),calc!B44,"")</f>
        <v/>
      </c>
      <c r="F44" t="str">
        <f>IF(AND(Descrição!C51="Externo",Descrição!D51="Negativo"),calc!B44,"")</f>
        <v/>
      </c>
      <c r="H44" t="e">
        <f t="shared" si="0"/>
        <v>#NUM!</v>
      </c>
      <c r="I44" t="e">
        <f t="shared" si="1"/>
        <v>#NUM!</v>
      </c>
      <c r="J44" t="e">
        <f t="shared" si="2"/>
        <v>#NUM!</v>
      </c>
      <c r="K44" t="e">
        <f t="shared" si="3"/>
        <v>#NUM!</v>
      </c>
    </row>
    <row r="45" spans="2:11" x14ac:dyDescent="0.25">
      <c r="B45">
        <v>44</v>
      </c>
      <c r="C45" t="str">
        <f>IF(AND(Descrição!C52="Interno",Descrição!D52="Positivo"),calc!B45,"")</f>
        <v/>
      </c>
      <c r="D45" t="str">
        <f>IF(AND(Descrição!C52="Interno",Descrição!D52="Negativo"),calc!B45,"")</f>
        <v/>
      </c>
      <c r="E45" t="str">
        <f>IF(AND(Descrição!C52="Externo",Descrição!D52="Positivo"),calc!B45,"")</f>
        <v/>
      </c>
      <c r="F45" t="str">
        <f>IF(AND(Descrição!C52="Externo",Descrição!D52="Negativo"),calc!B45,"")</f>
        <v/>
      </c>
      <c r="H45" t="e">
        <f t="shared" si="0"/>
        <v>#NUM!</v>
      </c>
      <c r="I45" t="e">
        <f t="shared" si="1"/>
        <v>#NUM!</v>
      </c>
      <c r="J45" t="e">
        <f t="shared" si="2"/>
        <v>#NUM!</v>
      </c>
      <c r="K45" t="e">
        <f t="shared" si="3"/>
        <v>#NUM!</v>
      </c>
    </row>
    <row r="46" spans="2:11" x14ac:dyDescent="0.25">
      <c r="B46">
        <v>45</v>
      </c>
      <c r="C46" t="str">
        <f>IF(AND(Descrição!C53="Interno",Descrição!D53="Positivo"),calc!B46,"")</f>
        <v/>
      </c>
      <c r="D46" t="str">
        <f>IF(AND(Descrição!C53="Interno",Descrição!D53="Negativo"),calc!B46,"")</f>
        <v/>
      </c>
      <c r="E46" t="str">
        <f>IF(AND(Descrição!C53="Externo",Descrição!D53="Positivo"),calc!B46,"")</f>
        <v/>
      </c>
      <c r="F46" t="str">
        <f>IF(AND(Descrição!C53="Externo",Descrição!D53="Negativo"),calc!B46,"")</f>
        <v/>
      </c>
      <c r="H46" t="e">
        <f t="shared" si="0"/>
        <v>#NUM!</v>
      </c>
      <c r="I46" t="e">
        <f t="shared" si="1"/>
        <v>#NUM!</v>
      </c>
      <c r="J46" t="e">
        <f t="shared" si="2"/>
        <v>#NUM!</v>
      </c>
      <c r="K46" t="e">
        <f t="shared" si="3"/>
        <v>#NUM!</v>
      </c>
    </row>
    <row r="47" spans="2:11" x14ac:dyDescent="0.25">
      <c r="B47">
        <v>46</v>
      </c>
      <c r="C47" t="str">
        <f>IF(AND(Descrição!C54="Interno",Descrição!D54="Positivo"),calc!B47,"")</f>
        <v/>
      </c>
      <c r="D47" t="str">
        <f>IF(AND(Descrição!C54="Interno",Descrição!D54="Negativo"),calc!B47,"")</f>
        <v/>
      </c>
      <c r="E47" t="str">
        <f>IF(AND(Descrição!C54="Externo",Descrição!D54="Positivo"),calc!B47,"")</f>
        <v/>
      </c>
      <c r="F47" t="str">
        <f>IF(AND(Descrição!C54="Externo",Descrição!D54="Negativo"),calc!B47,"")</f>
        <v/>
      </c>
      <c r="H47" t="e">
        <f t="shared" si="0"/>
        <v>#NUM!</v>
      </c>
      <c r="I47" t="e">
        <f t="shared" si="1"/>
        <v>#NUM!</v>
      </c>
      <c r="J47" t="e">
        <f t="shared" si="2"/>
        <v>#NUM!</v>
      </c>
      <c r="K47" t="e">
        <f t="shared" si="3"/>
        <v>#NUM!</v>
      </c>
    </row>
    <row r="48" spans="2:11" x14ac:dyDescent="0.25">
      <c r="B48">
        <v>47</v>
      </c>
      <c r="C48" t="str">
        <f>IF(AND(Descrição!C55="Interno",Descrição!D55="Positivo"),calc!B48,"")</f>
        <v/>
      </c>
      <c r="D48" t="str">
        <f>IF(AND(Descrição!C55="Interno",Descrição!D55="Negativo"),calc!B48,"")</f>
        <v/>
      </c>
      <c r="E48" t="str">
        <f>IF(AND(Descrição!C55="Externo",Descrição!D55="Positivo"),calc!B48,"")</f>
        <v/>
      </c>
      <c r="F48" t="str">
        <f>IF(AND(Descrição!C55="Externo",Descrição!D55="Negativo"),calc!B48,"")</f>
        <v/>
      </c>
      <c r="H48" t="e">
        <f t="shared" si="0"/>
        <v>#NUM!</v>
      </c>
      <c r="I48" t="e">
        <f t="shared" si="1"/>
        <v>#NUM!</v>
      </c>
      <c r="J48" t="e">
        <f t="shared" si="2"/>
        <v>#NUM!</v>
      </c>
      <c r="K48" t="e">
        <f t="shared" si="3"/>
        <v>#NUM!</v>
      </c>
    </row>
    <row r="49" spans="2:11" x14ac:dyDescent="0.25">
      <c r="B49">
        <v>48</v>
      </c>
      <c r="C49" t="str">
        <f>IF(AND(Descrição!C56="Interno",Descrição!D56="Positivo"),calc!B49,"")</f>
        <v/>
      </c>
      <c r="D49" t="str">
        <f>IF(AND(Descrição!C56="Interno",Descrição!D56="Negativo"),calc!B49,"")</f>
        <v/>
      </c>
      <c r="E49" t="str">
        <f>IF(AND(Descrição!C56="Externo",Descrição!D56="Positivo"),calc!B49,"")</f>
        <v/>
      </c>
      <c r="F49" t="str">
        <f>IF(AND(Descrição!C56="Externo",Descrição!D56="Negativo"),calc!B49,"")</f>
        <v/>
      </c>
      <c r="H49" t="e">
        <f t="shared" si="0"/>
        <v>#NUM!</v>
      </c>
      <c r="I49" t="e">
        <f t="shared" si="1"/>
        <v>#NUM!</v>
      </c>
      <c r="J49" t="e">
        <f t="shared" si="2"/>
        <v>#NUM!</v>
      </c>
      <c r="K49" t="e">
        <f t="shared" si="3"/>
        <v>#NUM!</v>
      </c>
    </row>
    <row r="50" spans="2:11" x14ac:dyDescent="0.25">
      <c r="B50">
        <v>49</v>
      </c>
      <c r="C50" t="str">
        <f>IF(AND(Descrição!C57="Interno",Descrição!D57="Positivo"),calc!B50,"")</f>
        <v/>
      </c>
      <c r="D50" t="str">
        <f>IF(AND(Descrição!C57="Interno",Descrição!D57="Negativo"),calc!B50,"")</f>
        <v/>
      </c>
      <c r="E50" t="str">
        <f>IF(AND(Descrição!C57="Externo",Descrição!D57="Positivo"),calc!B50,"")</f>
        <v/>
      </c>
      <c r="F50" t="str">
        <f>IF(AND(Descrição!C57="Externo",Descrição!D57="Negativo"),calc!B50,"")</f>
        <v/>
      </c>
      <c r="H50" t="e">
        <f t="shared" si="0"/>
        <v>#NUM!</v>
      </c>
      <c r="I50" t="e">
        <f t="shared" si="1"/>
        <v>#NUM!</v>
      </c>
      <c r="J50" t="e">
        <f t="shared" si="2"/>
        <v>#NUM!</v>
      </c>
      <c r="K50" t="e">
        <f t="shared" si="3"/>
        <v>#NUM!</v>
      </c>
    </row>
    <row r="51" spans="2:11" x14ac:dyDescent="0.25">
      <c r="B51">
        <v>50</v>
      </c>
      <c r="C51" t="str">
        <f>IF(AND(Descrição!C58="Interno",Descrição!D58="Positivo"),calc!B51,"")</f>
        <v/>
      </c>
      <c r="D51" t="str">
        <f>IF(AND(Descrição!C58="Interno",Descrição!D58="Negativo"),calc!B51,"")</f>
        <v/>
      </c>
      <c r="E51" t="str">
        <f>IF(AND(Descrição!C58="Externo",Descrição!D58="Positivo"),calc!B51,"")</f>
        <v/>
      </c>
      <c r="F51" t="str">
        <f>IF(AND(Descrição!C58="Externo",Descrição!D58="Negativo"),calc!B51,"")</f>
        <v/>
      </c>
      <c r="H51" t="e">
        <f t="shared" si="0"/>
        <v>#NUM!</v>
      </c>
      <c r="I51" t="e">
        <f t="shared" si="1"/>
        <v>#NUM!</v>
      </c>
      <c r="J51" t="e">
        <f t="shared" si="2"/>
        <v>#NUM!</v>
      </c>
      <c r="K51" t="e">
        <f t="shared" si="3"/>
        <v>#NUM!</v>
      </c>
    </row>
    <row r="52" spans="2:11" x14ac:dyDescent="0.25">
      <c r="B52">
        <v>51</v>
      </c>
      <c r="C52" t="str">
        <f>IF(AND(Descrição!C59="Interno",Descrição!D59="Positivo"),calc!B52,"")</f>
        <v/>
      </c>
      <c r="D52" t="str">
        <f>IF(AND(Descrição!C59="Interno",Descrição!D59="Negativo"),calc!B52,"")</f>
        <v/>
      </c>
      <c r="E52" t="str">
        <f>IF(AND(Descrição!C59="Externo",Descrição!D59="Positivo"),calc!B52,"")</f>
        <v/>
      </c>
      <c r="F52" t="str">
        <f>IF(AND(Descrição!C59="Externo",Descrição!D59="Negativo"),calc!B52,"")</f>
        <v/>
      </c>
      <c r="H52" t="e">
        <f t="shared" si="0"/>
        <v>#NUM!</v>
      </c>
      <c r="I52" t="e">
        <f t="shared" si="1"/>
        <v>#NUM!</v>
      </c>
      <c r="J52" t="e">
        <f t="shared" si="2"/>
        <v>#NUM!</v>
      </c>
      <c r="K52" t="e">
        <f t="shared" si="3"/>
        <v>#NUM!</v>
      </c>
    </row>
    <row r="53" spans="2:11" x14ac:dyDescent="0.25">
      <c r="B53">
        <v>52</v>
      </c>
      <c r="C53" t="str">
        <f>IF(AND(Descrição!C60="Interno",Descrição!D60="Positivo"),calc!B53,"")</f>
        <v/>
      </c>
      <c r="D53" t="str">
        <f>IF(AND(Descrição!C60="Interno",Descrição!D60="Negativo"),calc!B53,"")</f>
        <v/>
      </c>
      <c r="E53" t="str">
        <f>IF(AND(Descrição!C60="Externo",Descrição!D60="Positivo"),calc!B53,"")</f>
        <v/>
      </c>
      <c r="F53" t="str">
        <f>IF(AND(Descrição!C60="Externo",Descrição!D60="Negativo"),calc!B53,"")</f>
        <v/>
      </c>
      <c r="H53" t="e">
        <f t="shared" si="0"/>
        <v>#NUM!</v>
      </c>
      <c r="I53" t="e">
        <f t="shared" si="1"/>
        <v>#NUM!</v>
      </c>
      <c r="J53" t="e">
        <f t="shared" si="2"/>
        <v>#NUM!</v>
      </c>
      <c r="K53" t="e">
        <f t="shared" si="3"/>
        <v>#NUM!</v>
      </c>
    </row>
    <row r="54" spans="2:11" x14ac:dyDescent="0.25">
      <c r="B54">
        <v>53</v>
      </c>
      <c r="C54" t="str">
        <f>IF(AND(Descrição!C61="Interno",Descrição!D61="Positivo"),calc!B54,"")</f>
        <v/>
      </c>
      <c r="D54" t="str">
        <f>IF(AND(Descrição!C61="Interno",Descrição!D61="Negativo"),calc!B54,"")</f>
        <v/>
      </c>
      <c r="E54" t="str">
        <f>IF(AND(Descrição!C61="Externo",Descrição!D61="Positivo"),calc!B54,"")</f>
        <v/>
      </c>
      <c r="F54" t="str">
        <f>IF(AND(Descrição!C61="Externo",Descrição!D61="Negativo"),calc!B54,"")</f>
        <v/>
      </c>
      <c r="H54" t="e">
        <f t="shared" si="0"/>
        <v>#NUM!</v>
      </c>
      <c r="I54" t="e">
        <f t="shared" si="1"/>
        <v>#NUM!</v>
      </c>
      <c r="J54" t="e">
        <f t="shared" si="2"/>
        <v>#NUM!</v>
      </c>
      <c r="K54" t="e">
        <f t="shared" si="3"/>
        <v>#NUM!</v>
      </c>
    </row>
    <row r="55" spans="2:11" x14ac:dyDescent="0.25">
      <c r="B55">
        <v>54</v>
      </c>
      <c r="C55" t="str">
        <f>IF(AND(Descrição!C62="Interno",Descrição!D62="Positivo"),calc!B55,"")</f>
        <v/>
      </c>
      <c r="D55" t="str">
        <f>IF(AND(Descrição!C62="Interno",Descrição!D62="Negativo"),calc!B55,"")</f>
        <v/>
      </c>
      <c r="E55" t="str">
        <f>IF(AND(Descrição!C62="Externo",Descrição!D62="Positivo"),calc!B55,"")</f>
        <v/>
      </c>
      <c r="F55" t="str">
        <f>IF(AND(Descrição!C62="Externo",Descrição!D62="Negativo"),calc!B55,"")</f>
        <v/>
      </c>
      <c r="H55" t="e">
        <f t="shared" si="0"/>
        <v>#NUM!</v>
      </c>
      <c r="I55" t="e">
        <f t="shared" si="1"/>
        <v>#NUM!</v>
      </c>
      <c r="J55" t="e">
        <f t="shared" si="2"/>
        <v>#NUM!</v>
      </c>
      <c r="K55" t="e">
        <f t="shared" si="3"/>
        <v>#NUM!</v>
      </c>
    </row>
    <row r="56" spans="2:11" x14ac:dyDescent="0.25">
      <c r="B56">
        <v>55</v>
      </c>
      <c r="C56" t="str">
        <f>IF(AND(Descrição!C63="Interno",Descrição!D63="Positivo"),calc!B56,"")</f>
        <v/>
      </c>
      <c r="D56" t="str">
        <f>IF(AND(Descrição!C63="Interno",Descrição!D63="Negativo"),calc!B56,"")</f>
        <v/>
      </c>
      <c r="E56" t="str">
        <f>IF(AND(Descrição!C63="Externo",Descrição!D63="Positivo"),calc!B56,"")</f>
        <v/>
      </c>
      <c r="F56" t="str">
        <f>IF(AND(Descrição!C63="Externo",Descrição!D63="Negativo"),calc!B56,"")</f>
        <v/>
      </c>
      <c r="H56" t="e">
        <f t="shared" si="0"/>
        <v>#NUM!</v>
      </c>
      <c r="I56" t="e">
        <f t="shared" si="1"/>
        <v>#NUM!</v>
      </c>
      <c r="J56" t="e">
        <f t="shared" si="2"/>
        <v>#NUM!</v>
      </c>
      <c r="K56" t="e">
        <f t="shared" si="3"/>
        <v>#NUM!</v>
      </c>
    </row>
    <row r="57" spans="2:11" x14ac:dyDescent="0.25">
      <c r="B57">
        <v>56</v>
      </c>
      <c r="C57" t="str">
        <f>IF(AND(Descrição!C64="Interno",Descrição!D64="Positivo"),calc!B57,"")</f>
        <v/>
      </c>
      <c r="D57" t="str">
        <f>IF(AND(Descrição!C64="Interno",Descrição!D64="Negativo"),calc!B57,"")</f>
        <v/>
      </c>
      <c r="E57" t="str">
        <f>IF(AND(Descrição!C64="Externo",Descrição!D64="Positivo"),calc!B57,"")</f>
        <v/>
      </c>
      <c r="F57" t="str">
        <f>IF(AND(Descrição!C64="Externo",Descrição!D64="Negativo"),calc!B57,"")</f>
        <v/>
      </c>
      <c r="H57" t="e">
        <f t="shared" si="0"/>
        <v>#NUM!</v>
      </c>
      <c r="I57" t="e">
        <f t="shared" si="1"/>
        <v>#NUM!</v>
      </c>
      <c r="J57" t="e">
        <f t="shared" si="2"/>
        <v>#NUM!</v>
      </c>
      <c r="K57" t="e">
        <f t="shared" si="3"/>
        <v>#NUM!</v>
      </c>
    </row>
    <row r="58" spans="2:11" x14ac:dyDescent="0.25">
      <c r="B58">
        <v>57</v>
      </c>
      <c r="C58" t="str">
        <f>IF(AND(Descrição!C65="Interno",Descrição!D65="Positivo"),calc!B58,"")</f>
        <v/>
      </c>
      <c r="D58" t="str">
        <f>IF(AND(Descrição!C65="Interno",Descrição!D65="Negativo"),calc!B58,"")</f>
        <v/>
      </c>
      <c r="E58" t="str">
        <f>IF(AND(Descrição!C65="Externo",Descrição!D65="Positivo"),calc!B58,"")</f>
        <v/>
      </c>
      <c r="F58" t="str">
        <f>IF(AND(Descrição!C65="Externo",Descrição!D65="Negativo"),calc!B58,"")</f>
        <v/>
      </c>
      <c r="H58" t="e">
        <f t="shared" si="0"/>
        <v>#NUM!</v>
      </c>
      <c r="I58" t="e">
        <f t="shared" si="1"/>
        <v>#NUM!</v>
      </c>
      <c r="J58" t="e">
        <f t="shared" si="2"/>
        <v>#NUM!</v>
      </c>
      <c r="K58" t="e">
        <f t="shared" si="3"/>
        <v>#NUM!</v>
      </c>
    </row>
    <row r="59" spans="2:11" x14ac:dyDescent="0.25">
      <c r="B59">
        <v>58</v>
      </c>
      <c r="C59" t="str">
        <f>IF(AND(Descrição!C66="Interno",Descrição!D66="Positivo"),calc!B59,"")</f>
        <v/>
      </c>
      <c r="D59" t="str">
        <f>IF(AND(Descrição!C66="Interno",Descrição!D66="Negativo"),calc!B59,"")</f>
        <v/>
      </c>
      <c r="E59" t="str">
        <f>IF(AND(Descrição!C66="Externo",Descrição!D66="Positivo"),calc!B59,"")</f>
        <v/>
      </c>
      <c r="F59" t="str">
        <f>IF(AND(Descrição!C66="Externo",Descrição!D66="Negativo"),calc!B59,"")</f>
        <v/>
      </c>
      <c r="H59" t="e">
        <f t="shared" si="0"/>
        <v>#NUM!</v>
      </c>
      <c r="I59" t="e">
        <f t="shared" si="1"/>
        <v>#NUM!</v>
      </c>
      <c r="J59" t="e">
        <f t="shared" si="2"/>
        <v>#NUM!</v>
      </c>
      <c r="K59" t="e">
        <f t="shared" si="3"/>
        <v>#NUM!</v>
      </c>
    </row>
    <row r="60" spans="2:11" x14ac:dyDescent="0.25">
      <c r="B60">
        <v>59</v>
      </c>
      <c r="C60" t="str">
        <f>IF(AND(Descrição!C67="Interno",Descrição!D67="Positivo"),calc!B60,"")</f>
        <v/>
      </c>
      <c r="D60" t="str">
        <f>IF(AND(Descrição!C67="Interno",Descrição!D67="Negativo"),calc!B60,"")</f>
        <v/>
      </c>
      <c r="E60" t="str">
        <f>IF(AND(Descrição!C67="Externo",Descrição!D67="Positivo"),calc!B60,"")</f>
        <v/>
      </c>
      <c r="F60" t="str">
        <f>IF(AND(Descrição!C67="Externo",Descrição!D67="Negativo"),calc!B60,"")</f>
        <v/>
      </c>
      <c r="H60" t="e">
        <f t="shared" si="0"/>
        <v>#NUM!</v>
      </c>
      <c r="I60" t="e">
        <f t="shared" si="1"/>
        <v>#NUM!</v>
      </c>
      <c r="J60" t="e">
        <f t="shared" si="2"/>
        <v>#NUM!</v>
      </c>
      <c r="K60" t="e">
        <f t="shared" si="3"/>
        <v>#NUM!</v>
      </c>
    </row>
    <row r="61" spans="2:11" x14ac:dyDescent="0.25">
      <c r="B61">
        <v>60</v>
      </c>
      <c r="C61" t="str">
        <f>IF(AND(Descrição!C68="Interno",Descrição!D68="Positivo"),calc!B61,"")</f>
        <v/>
      </c>
      <c r="D61" t="str">
        <f>IF(AND(Descrição!C68="Interno",Descrição!D68="Negativo"),calc!B61,"")</f>
        <v/>
      </c>
      <c r="E61" t="str">
        <f>IF(AND(Descrição!C68="Externo",Descrição!D68="Positivo"),calc!B61,"")</f>
        <v/>
      </c>
      <c r="F61" t="str">
        <f>IF(AND(Descrição!C68="Externo",Descrição!D68="Negativo"),calc!B61,"")</f>
        <v/>
      </c>
      <c r="H61" t="e">
        <f t="shared" si="0"/>
        <v>#NUM!</v>
      </c>
      <c r="I61" t="e">
        <f t="shared" si="1"/>
        <v>#NUM!</v>
      </c>
      <c r="J61" t="e">
        <f t="shared" si="2"/>
        <v>#NUM!</v>
      </c>
      <c r="K61" t="e">
        <f t="shared" si="3"/>
        <v>#NUM!</v>
      </c>
    </row>
    <row r="62" spans="2:11" x14ac:dyDescent="0.25">
      <c r="B62">
        <v>61</v>
      </c>
      <c r="C62" t="str">
        <f>IF(AND(Descrição!C69="Interno",Descrição!D69="Positivo"),calc!B62,"")</f>
        <v/>
      </c>
      <c r="D62" t="str">
        <f>IF(AND(Descrição!C69="Interno",Descrição!D69="Negativo"),calc!B62,"")</f>
        <v/>
      </c>
      <c r="E62" t="str">
        <f>IF(AND(Descrição!C69="Externo",Descrição!D69="Positivo"),calc!B62,"")</f>
        <v/>
      </c>
      <c r="F62" t="str">
        <f>IF(AND(Descrição!C69="Externo",Descrição!D69="Negativo"),calc!B62,"")</f>
        <v/>
      </c>
      <c r="H62" t="e">
        <f t="shared" si="0"/>
        <v>#NUM!</v>
      </c>
      <c r="I62" t="e">
        <f t="shared" si="1"/>
        <v>#NUM!</v>
      </c>
      <c r="J62" t="e">
        <f t="shared" si="2"/>
        <v>#NUM!</v>
      </c>
      <c r="K62" t="e">
        <f t="shared" si="3"/>
        <v>#NUM!</v>
      </c>
    </row>
    <row r="63" spans="2:11" x14ac:dyDescent="0.25">
      <c r="B63">
        <v>62</v>
      </c>
      <c r="C63" t="str">
        <f>IF(AND(Descrição!C70="Interno",Descrição!D70="Positivo"),calc!B63,"")</f>
        <v/>
      </c>
      <c r="D63" t="str">
        <f>IF(AND(Descrição!C70="Interno",Descrição!D70="Negativo"),calc!B63,"")</f>
        <v/>
      </c>
      <c r="E63" t="str">
        <f>IF(AND(Descrição!C70="Externo",Descrição!D70="Positivo"),calc!B63,"")</f>
        <v/>
      </c>
      <c r="F63" t="str">
        <f>IF(AND(Descrição!C70="Externo",Descrição!D70="Negativo"),calc!B63,"")</f>
        <v/>
      </c>
      <c r="H63" t="e">
        <f t="shared" si="0"/>
        <v>#NUM!</v>
      </c>
      <c r="I63" t="e">
        <f t="shared" si="1"/>
        <v>#NUM!</v>
      </c>
      <c r="J63" t="e">
        <f t="shared" si="2"/>
        <v>#NUM!</v>
      </c>
      <c r="K63" t="e">
        <f t="shared" si="3"/>
        <v>#NUM!</v>
      </c>
    </row>
    <row r="64" spans="2:11" x14ac:dyDescent="0.25">
      <c r="B64">
        <v>63</v>
      </c>
      <c r="C64" t="str">
        <f>IF(AND(Descrição!C71="Interno",Descrição!D71="Positivo"),calc!B64,"")</f>
        <v/>
      </c>
      <c r="D64" t="str">
        <f>IF(AND(Descrição!C71="Interno",Descrição!D71="Negativo"),calc!B64,"")</f>
        <v/>
      </c>
      <c r="E64" t="str">
        <f>IF(AND(Descrição!C71="Externo",Descrição!D71="Positivo"),calc!B64,"")</f>
        <v/>
      </c>
      <c r="F64" t="str">
        <f>IF(AND(Descrição!C71="Externo",Descrição!D71="Negativo"),calc!B64,"")</f>
        <v/>
      </c>
      <c r="H64" t="e">
        <f t="shared" si="0"/>
        <v>#NUM!</v>
      </c>
      <c r="I64" t="e">
        <f t="shared" si="1"/>
        <v>#NUM!</v>
      </c>
      <c r="J64" t="e">
        <f t="shared" si="2"/>
        <v>#NUM!</v>
      </c>
      <c r="K64" t="e">
        <f t="shared" si="3"/>
        <v>#NUM!</v>
      </c>
    </row>
    <row r="65" spans="2:11" x14ac:dyDescent="0.25">
      <c r="B65">
        <v>64</v>
      </c>
      <c r="C65" t="str">
        <f>IF(AND(Descrição!C72="Interno",Descrição!D72="Positivo"),calc!B65,"")</f>
        <v/>
      </c>
      <c r="D65" t="str">
        <f>IF(AND(Descrição!C72="Interno",Descrição!D72="Negativo"),calc!B65,"")</f>
        <v/>
      </c>
      <c r="E65" t="str">
        <f>IF(AND(Descrição!C72="Externo",Descrição!D72="Positivo"),calc!B65,"")</f>
        <v/>
      </c>
      <c r="F65" t="str">
        <f>IF(AND(Descrição!C72="Externo",Descrição!D72="Negativo"),calc!B65,"")</f>
        <v/>
      </c>
      <c r="H65" t="e">
        <f t="shared" si="0"/>
        <v>#NUM!</v>
      </c>
      <c r="I65" t="e">
        <f t="shared" si="1"/>
        <v>#NUM!</v>
      </c>
      <c r="J65" t="e">
        <f t="shared" si="2"/>
        <v>#NUM!</v>
      </c>
      <c r="K65" t="e">
        <f t="shared" si="3"/>
        <v>#NUM!</v>
      </c>
    </row>
    <row r="66" spans="2:11" x14ac:dyDescent="0.25">
      <c r="B66">
        <v>65</v>
      </c>
      <c r="C66" t="str">
        <f>IF(AND(Descrição!C73="Interno",Descrição!D73="Positivo"),calc!B66,"")</f>
        <v/>
      </c>
      <c r="D66" t="str">
        <f>IF(AND(Descrição!C73="Interno",Descrição!D73="Negativo"),calc!B66,"")</f>
        <v/>
      </c>
      <c r="E66" t="str">
        <f>IF(AND(Descrição!C73="Externo",Descrição!D73="Positivo"),calc!B66,"")</f>
        <v/>
      </c>
      <c r="F66" t="str">
        <f>IF(AND(Descrição!C73="Externo",Descrição!D73="Negativo"),calc!B66,"")</f>
        <v/>
      </c>
      <c r="H66" t="e">
        <f t="shared" si="0"/>
        <v>#NUM!</v>
      </c>
      <c r="I66" t="e">
        <f t="shared" si="1"/>
        <v>#NUM!</v>
      </c>
      <c r="J66" t="e">
        <f t="shared" si="2"/>
        <v>#NUM!</v>
      </c>
      <c r="K66" t="e">
        <f t="shared" si="3"/>
        <v>#NUM!</v>
      </c>
    </row>
    <row r="67" spans="2:11" x14ac:dyDescent="0.25">
      <c r="B67">
        <v>66</v>
      </c>
      <c r="C67" t="str">
        <f>IF(AND(Descrição!C74="Interno",Descrição!D74="Positivo"),calc!B67,"")</f>
        <v/>
      </c>
      <c r="D67" t="str">
        <f>IF(AND(Descrição!C74="Interno",Descrição!D74="Negativo"),calc!B67,"")</f>
        <v/>
      </c>
      <c r="E67" t="str">
        <f>IF(AND(Descrição!C74="Externo",Descrição!D74="Positivo"),calc!B67,"")</f>
        <v/>
      </c>
      <c r="F67" t="str">
        <f>IF(AND(Descrição!C74="Externo",Descrição!D74="Negativo"),calc!B67,"")</f>
        <v/>
      </c>
      <c r="H67" t="e">
        <f t="shared" ref="H67:H81" si="4">SMALL(C:C,B67)</f>
        <v>#NUM!</v>
      </c>
      <c r="I67" t="e">
        <f t="shared" ref="I67:I81" si="5">SMALL(D:D,B67)</f>
        <v>#NUM!</v>
      </c>
      <c r="J67" t="e">
        <f t="shared" ref="J67:J81" si="6">SMALL(E:E,B67)</f>
        <v>#NUM!</v>
      </c>
      <c r="K67" t="e">
        <f t="shared" ref="K67:K81" si="7">SMALL(F:F,B67)</f>
        <v>#NUM!</v>
      </c>
    </row>
    <row r="68" spans="2:11" x14ac:dyDescent="0.25">
      <c r="B68">
        <v>67</v>
      </c>
      <c r="C68" t="str">
        <f>IF(AND(Descrição!C75="Interno",Descrição!D75="Positivo"),calc!B68,"")</f>
        <v/>
      </c>
      <c r="D68" t="str">
        <f>IF(AND(Descrição!C75="Interno",Descrição!D75="Negativo"),calc!B68,"")</f>
        <v/>
      </c>
      <c r="E68" t="str">
        <f>IF(AND(Descrição!C75="Externo",Descrição!D75="Positivo"),calc!B68,"")</f>
        <v/>
      </c>
      <c r="F68" t="str">
        <f>IF(AND(Descrição!C75="Externo",Descrição!D75="Negativo"),calc!B68,"")</f>
        <v/>
      </c>
      <c r="H68" t="e">
        <f t="shared" si="4"/>
        <v>#NUM!</v>
      </c>
      <c r="I68" t="e">
        <f t="shared" si="5"/>
        <v>#NUM!</v>
      </c>
      <c r="J68" t="e">
        <f t="shared" si="6"/>
        <v>#NUM!</v>
      </c>
      <c r="K68" t="e">
        <f t="shared" si="7"/>
        <v>#NUM!</v>
      </c>
    </row>
    <row r="69" spans="2:11" x14ac:dyDescent="0.25">
      <c r="B69">
        <v>68</v>
      </c>
      <c r="C69" t="str">
        <f>IF(AND(Descrição!C76="Interno",Descrição!D76="Positivo"),calc!B69,"")</f>
        <v/>
      </c>
      <c r="D69" t="str">
        <f>IF(AND(Descrição!C76="Interno",Descrição!D76="Negativo"),calc!B69,"")</f>
        <v/>
      </c>
      <c r="E69" t="str">
        <f>IF(AND(Descrição!C76="Externo",Descrição!D76="Positivo"),calc!B69,"")</f>
        <v/>
      </c>
      <c r="F69" t="str">
        <f>IF(AND(Descrição!C76="Externo",Descrição!D76="Negativo"),calc!B69,"")</f>
        <v/>
      </c>
      <c r="H69" t="e">
        <f t="shared" si="4"/>
        <v>#NUM!</v>
      </c>
      <c r="I69" t="e">
        <f t="shared" si="5"/>
        <v>#NUM!</v>
      </c>
      <c r="J69" t="e">
        <f t="shared" si="6"/>
        <v>#NUM!</v>
      </c>
      <c r="K69" t="e">
        <f t="shared" si="7"/>
        <v>#NUM!</v>
      </c>
    </row>
    <row r="70" spans="2:11" x14ac:dyDescent="0.25">
      <c r="B70">
        <v>69</v>
      </c>
      <c r="C70" t="str">
        <f>IF(AND(Descrição!C77="Interno",Descrição!D77="Positivo"),calc!B70,"")</f>
        <v/>
      </c>
      <c r="D70" t="str">
        <f>IF(AND(Descrição!C77="Interno",Descrição!D77="Negativo"),calc!B70,"")</f>
        <v/>
      </c>
      <c r="E70" t="str">
        <f>IF(AND(Descrição!C77="Externo",Descrição!D77="Positivo"),calc!B70,"")</f>
        <v/>
      </c>
      <c r="F70" t="str">
        <f>IF(AND(Descrição!C77="Externo",Descrição!D77="Negativo"),calc!B70,"")</f>
        <v/>
      </c>
      <c r="H70" t="e">
        <f t="shared" si="4"/>
        <v>#NUM!</v>
      </c>
      <c r="I70" t="e">
        <f t="shared" si="5"/>
        <v>#NUM!</v>
      </c>
      <c r="J70" t="e">
        <f t="shared" si="6"/>
        <v>#NUM!</v>
      </c>
      <c r="K70" t="e">
        <f t="shared" si="7"/>
        <v>#NUM!</v>
      </c>
    </row>
    <row r="71" spans="2:11" x14ac:dyDescent="0.25">
      <c r="B71">
        <v>70</v>
      </c>
      <c r="C71" t="str">
        <f>IF(AND(Descrição!C78="Interno",Descrição!D78="Positivo"),calc!B71,"")</f>
        <v/>
      </c>
      <c r="D71" t="str">
        <f>IF(AND(Descrição!C78="Interno",Descrição!D78="Negativo"),calc!B71,"")</f>
        <v/>
      </c>
      <c r="E71" t="str">
        <f>IF(AND(Descrição!C78="Externo",Descrição!D78="Positivo"),calc!B71,"")</f>
        <v/>
      </c>
      <c r="F71" t="str">
        <f>IF(AND(Descrição!C78="Externo",Descrição!D78="Negativo"),calc!B71,"")</f>
        <v/>
      </c>
      <c r="H71" t="e">
        <f t="shared" si="4"/>
        <v>#NUM!</v>
      </c>
      <c r="I71" t="e">
        <f t="shared" si="5"/>
        <v>#NUM!</v>
      </c>
      <c r="J71" t="e">
        <f t="shared" si="6"/>
        <v>#NUM!</v>
      </c>
      <c r="K71" t="e">
        <f t="shared" si="7"/>
        <v>#NUM!</v>
      </c>
    </row>
    <row r="72" spans="2:11" x14ac:dyDescent="0.25">
      <c r="B72">
        <v>71</v>
      </c>
      <c r="C72" t="str">
        <f>IF(AND(Descrição!C79="Interno",Descrição!D79="Positivo"),calc!B72,"")</f>
        <v/>
      </c>
      <c r="D72" t="str">
        <f>IF(AND(Descrição!C79="Interno",Descrição!D79="Negativo"),calc!B72,"")</f>
        <v/>
      </c>
      <c r="E72" t="str">
        <f>IF(AND(Descrição!C79="Externo",Descrição!D79="Positivo"),calc!B72,"")</f>
        <v/>
      </c>
      <c r="F72" t="str">
        <f>IF(AND(Descrição!C79="Externo",Descrição!D79="Negativo"),calc!B72,"")</f>
        <v/>
      </c>
      <c r="H72" t="e">
        <f t="shared" si="4"/>
        <v>#NUM!</v>
      </c>
      <c r="I72" t="e">
        <f t="shared" si="5"/>
        <v>#NUM!</v>
      </c>
      <c r="J72" t="e">
        <f t="shared" si="6"/>
        <v>#NUM!</v>
      </c>
      <c r="K72" t="e">
        <f t="shared" si="7"/>
        <v>#NUM!</v>
      </c>
    </row>
    <row r="73" spans="2:11" x14ac:dyDescent="0.25">
      <c r="B73">
        <v>72</v>
      </c>
      <c r="C73" t="str">
        <f>IF(AND(Descrição!C80="Interno",Descrição!D80="Positivo"),calc!B73,"")</f>
        <v/>
      </c>
      <c r="D73" t="str">
        <f>IF(AND(Descrição!C80="Interno",Descrição!D80="Negativo"),calc!B73,"")</f>
        <v/>
      </c>
      <c r="E73" t="str">
        <f>IF(AND(Descrição!C80="Externo",Descrição!D80="Positivo"),calc!B73,"")</f>
        <v/>
      </c>
      <c r="F73" t="str">
        <f>IF(AND(Descrição!C80="Externo",Descrição!D80="Negativo"),calc!B73,"")</f>
        <v/>
      </c>
      <c r="H73" t="e">
        <f t="shared" si="4"/>
        <v>#NUM!</v>
      </c>
      <c r="I73" t="e">
        <f t="shared" si="5"/>
        <v>#NUM!</v>
      </c>
      <c r="J73" t="e">
        <f t="shared" si="6"/>
        <v>#NUM!</v>
      </c>
      <c r="K73" t="e">
        <f t="shared" si="7"/>
        <v>#NUM!</v>
      </c>
    </row>
    <row r="74" spans="2:11" x14ac:dyDescent="0.25">
      <c r="B74">
        <v>73</v>
      </c>
      <c r="C74" t="str">
        <f>IF(AND(Descrição!C81="Interno",Descrição!D81="Positivo"),calc!B74,"")</f>
        <v/>
      </c>
      <c r="D74" t="str">
        <f>IF(AND(Descrição!C81="Interno",Descrição!D81="Negativo"),calc!B74,"")</f>
        <v/>
      </c>
      <c r="E74" t="str">
        <f>IF(AND(Descrição!C81="Externo",Descrição!D81="Positivo"),calc!B74,"")</f>
        <v/>
      </c>
      <c r="F74" t="str">
        <f>IF(AND(Descrição!C81="Externo",Descrição!D81="Negativo"),calc!B74,"")</f>
        <v/>
      </c>
      <c r="H74" t="e">
        <f t="shared" si="4"/>
        <v>#NUM!</v>
      </c>
      <c r="I74" t="e">
        <f t="shared" si="5"/>
        <v>#NUM!</v>
      </c>
      <c r="J74" t="e">
        <f t="shared" si="6"/>
        <v>#NUM!</v>
      </c>
      <c r="K74" t="e">
        <f t="shared" si="7"/>
        <v>#NUM!</v>
      </c>
    </row>
    <row r="75" spans="2:11" x14ac:dyDescent="0.25">
      <c r="B75">
        <v>74</v>
      </c>
      <c r="C75" t="str">
        <f>IF(AND(Descrição!C82="Interno",Descrição!D82="Positivo"),calc!B75,"")</f>
        <v/>
      </c>
      <c r="D75" t="str">
        <f>IF(AND(Descrição!C82="Interno",Descrição!D82="Negativo"),calc!B75,"")</f>
        <v/>
      </c>
      <c r="E75" t="str">
        <f>IF(AND(Descrição!C82="Externo",Descrição!D82="Positivo"),calc!B75,"")</f>
        <v/>
      </c>
      <c r="F75" t="str">
        <f>IF(AND(Descrição!C82="Externo",Descrição!D82="Negativo"),calc!B75,"")</f>
        <v/>
      </c>
      <c r="H75" t="e">
        <f t="shared" si="4"/>
        <v>#NUM!</v>
      </c>
      <c r="I75" t="e">
        <f t="shared" si="5"/>
        <v>#NUM!</v>
      </c>
      <c r="J75" t="e">
        <f t="shared" si="6"/>
        <v>#NUM!</v>
      </c>
      <c r="K75" t="e">
        <f t="shared" si="7"/>
        <v>#NUM!</v>
      </c>
    </row>
    <row r="76" spans="2:11" x14ac:dyDescent="0.25">
      <c r="B76">
        <v>75</v>
      </c>
      <c r="C76" t="str">
        <f>IF(AND(Descrição!C83="Interno",Descrição!D83="Positivo"),calc!B76,"")</f>
        <v/>
      </c>
      <c r="D76" t="str">
        <f>IF(AND(Descrição!C83="Interno",Descrição!D83="Negativo"),calc!B76,"")</f>
        <v/>
      </c>
      <c r="E76" t="str">
        <f>IF(AND(Descrição!C83="Externo",Descrição!D83="Positivo"),calc!B76,"")</f>
        <v/>
      </c>
      <c r="F76" t="str">
        <f>IF(AND(Descrição!C83="Externo",Descrição!D83="Negativo"),calc!B76,"")</f>
        <v/>
      </c>
      <c r="H76" t="e">
        <f t="shared" si="4"/>
        <v>#NUM!</v>
      </c>
      <c r="I76" t="e">
        <f t="shared" si="5"/>
        <v>#NUM!</v>
      </c>
      <c r="J76" t="e">
        <f t="shared" si="6"/>
        <v>#NUM!</v>
      </c>
      <c r="K76" t="e">
        <f t="shared" si="7"/>
        <v>#NUM!</v>
      </c>
    </row>
    <row r="77" spans="2:11" x14ac:dyDescent="0.25">
      <c r="B77">
        <v>76</v>
      </c>
      <c r="C77" t="str">
        <f>IF(AND(Descrição!C84="Interno",Descrição!D84="Positivo"),calc!B77,"")</f>
        <v/>
      </c>
      <c r="D77" t="str">
        <f>IF(AND(Descrição!C84="Interno",Descrição!D84="Negativo"),calc!B77,"")</f>
        <v/>
      </c>
      <c r="E77" t="str">
        <f>IF(AND(Descrição!C84="Externo",Descrição!D84="Positivo"),calc!B77,"")</f>
        <v/>
      </c>
      <c r="F77" t="str">
        <f>IF(AND(Descrição!C84="Externo",Descrição!D84="Negativo"),calc!B77,"")</f>
        <v/>
      </c>
      <c r="H77" t="e">
        <f t="shared" si="4"/>
        <v>#NUM!</v>
      </c>
      <c r="I77" t="e">
        <f t="shared" si="5"/>
        <v>#NUM!</v>
      </c>
      <c r="J77" t="e">
        <f t="shared" si="6"/>
        <v>#NUM!</v>
      </c>
      <c r="K77" t="e">
        <f t="shared" si="7"/>
        <v>#NUM!</v>
      </c>
    </row>
    <row r="78" spans="2:11" x14ac:dyDescent="0.25">
      <c r="B78">
        <v>77</v>
      </c>
      <c r="C78" t="str">
        <f>IF(AND(Descrição!C85="Interno",Descrição!D85="Positivo"),calc!B78,"")</f>
        <v/>
      </c>
      <c r="D78" t="str">
        <f>IF(AND(Descrição!C85="Interno",Descrição!D85="Negativo"),calc!B78,"")</f>
        <v/>
      </c>
      <c r="E78" t="str">
        <f>IF(AND(Descrição!C85="Externo",Descrição!D85="Positivo"),calc!B78,"")</f>
        <v/>
      </c>
      <c r="F78" t="str">
        <f>IF(AND(Descrição!C85="Externo",Descrição!D85="Negativo"),calc!B78,"")</f>
        <v/>
      </c>
      <c r="H78" t="e">
        <f t="shared" si="4"/>
        <v>#NUM!</v>
      </c>
      <c r="I78" t="e">
        <f t="shared" si="5"/>
        <v>#NUM!</v>
      </c>
      <c r="J78" t="e">
        <f t="shared" si="6"/>
        <v>#NUM!</v>
      </c>
      <c r="K78" t="e">
        <f t="shared" si="7"/>
        <v>#NUM!</v>
      </c>
    </row>
    <row r="79" spans="2:11" x14ac:dyDescent="0.25">
      <c r="B79">
        <v>78</v>
      </c>
      <c r="C79" t="str">
        <f>IF(AND(Descrição!C86="Interno",Descrição!D86="Positivo"),calc!B79,"")</f>
        <v/>
      </c>
      <c r="D79" t="str">
        <f>IF(AND(Descrição!C86="Interno",Descrição!D86="Negativo"),calc!B79,"")</f>
        <v/>
      </c>
      <c r="E79" t="str">
        <f>IF(AND(Descrição!C86="Externo",Descrição!D86="Positivo"),calc!B79,"")</f>
        <v/>
      </c>
      <c r="F79" t="str">
        <f>IF(AND(Descrição!C86="Externo",Descrição!D86="Negativo"),calc!B79,"")</f>
        <v/>
      </c>
      <c r="H79" t="e">
        <f t="shared" si="4"/>
        <v>#NUM!</v>
      </c>
      <c r="I79" t="e">
        <f t="shared" si="5"/>
        <v>#NUM!</v>
      </c>
      <c r="J79" t="e">
        <f t="shared" si="6"/>
        <v>#NUM!</v>
      </c>
      <c r="K79" t="e">
        <f t="shared" si="7"/>
        <v>#NUM!</v>
      </c>
    </row>
    <row r="80" spans="2:11" x14ac:dyDescent="0.25">
      <c r="B80">
        <v>79</v>
      </c>
      <c r="C80" t="str">
        <f>IF(AND(Descrição!C87="Interno",Descrição!D87="Positivo"),calc!B80,"")</f>
        <v/>
      </c>
      <c r="D80" t="str">
        <f>IF(AND(Descrição!C87="Interno",Descrição!D87="Negativo"),calc!B80,"")</f>
        <v/>
      </c>
      <c r="E80" t="str">
        <f>IF(AND(Descrição!C87="Externo",Descrição!D87="Positivo"),calc!B80,"")</f>
        <v/>
      </c>
      <c r="F80" t="str">
        <f>IF(AND(Descrição!C87="Externo",Descrição!D87="Negativo"),calc!B80,"")</f>
        <v/>
      </c>
      <c r="H80" t="e">
        <f t="shared" si="4"/>
        <v>#NUM!</v>
      </c>
      <c r="I80" t="e">
        <f t="shared" si="5"/>
        <v>#NUM!</v>
      </c>
      <c r="J80" t="e">
        <f t="shared" si="6"/>
        <v>#NUM!</v>
      </c>
      <c r="K80" t="e">
        <f t="shared" si="7"/>
        <v>#NUM!</v>
      </c>
    </row>
    <row r="81" spans="2:11" x14ac:dyDescent="0.25">
      <c r="B81">
        <v>80</v>
      </c>
      <c r="C81" t="str">
        <f>IF(AND(Descrição!C88="Interno",Descrição!D88="Positivo"),calc!B81,"")</f>
        <v/>
      </c>
      <c r="D81" t="str">
        <f>IF(AND(Descrição!C88="Interno",Descrição!D88="Negativo"),calc!B81,"")</f>
        <v/>
      </c>
      <c r="E81" t="str">
        <f>IF(AND(Descrição!C88="Externo",Descrição!D88="Positivo"),calc!B81,"")</f>
        <v/>
      </c>
      <c r="F81" t="str">
        <f>IF(AND(Descrição!C88="Externo",Descrição!D88="Negativo"),calc!B81,"")</f>
        <v/>
      </c>
      <c r="H81" t="e">
        <f t="shared" si="4"/>
        <v>#NUM!</v>
      </c>
      <c r="I81" t="e">
        <f t="shared" si="5"/>
        <v>#NUM!</v>
      </c>
      <c r="J81" t="e">
        <f t="shared" si="6"/>
        <v>#NUM!</v>
      </c>
      <c r="K81" t="e">
        <f t="shared" si="7"/>
        <v>#NUM!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04D98-7EED-443F-BE5B-8E20892A2873}">
  <sheetPr codeName="Planilha18">
    <tabColor theme="3"/>
  </sheetPr>
  <dimension ref="A1:W20"/>
  <sheetViews>
    <sheetView showGridLines="0" showRowColHeaders="0" workbookViewId="0"/>
  </sheetViews>
  <sheetFormatPr defaultColWidth="0" defaultRowHeight="15" zeroHeight="1" x14ac:dyDescent="0.25"/>
  <cols>
    <col min="1" max="23" width="9.140625" customWidth="1"/>
    <col min="24" max="16384" width="9.140625" hidden="1"/>
  </cols>
  <sheetData>
    <row r="1" s="1" customFormat="1" x14ac:dyDescent="0.25"/>
    <row r="2" s="1" customFormat="1" x14ac:dyDescent="0.25"/>
    <row r="3" s="1" customFormat="1" x14ac:dyDescent="0.25"/>
    <row r="4" s="2" customFormat="1" x14ac:dyDescent="0.25"/>
    <row r="5" s="2" customFormat="1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A934F-EDA1-4E63-B20D-058A69746CF3}">
  <sheetPr codeName="Planilha19">
    <tabColor theme="3"/>
  </sheetPr>
  <dimension ref="A1:J40"/>
  <sheetViews>
    <sheetView showGridLines="0" showRowColHeaders="0" workbookViewId="0">
      <pane ySplit="8" topLeftCell="A9" activePane="bottomLeft" state="frozen"/>
      <selection pane="bottomLeft"/>
    </sheetView>
  </sheetViews>
  <sheetFormatPr defaultColWidth="0" defaultRowHeight="15" zeroHeight="1" x14ac:dyDescent="0.2"/>
  <cols>
    <col min="1" max="1" width="9.140625" style="37" customWidth="1"/>
    <col min="2" max="2" width="122.42578125" style="37" customWidth="1"/>
    <col min="3" max="10" width="9.140625" style="37" customWidth="1"/>
    <col min="11" max="16384" width="9.140625" style="37" hidden="1"/>
  </cols>
  <sheetData>
    <row r="1" spans="2:2" s="83" customFormat="1" x14ac:dyDescent="0.2"/>
    <row r="2" spans="2:2" s="83" customFormat="1" x14ac:dyDescent="0.2"/>
    <row r="3" spans="2:2" s="83" customFormat="1" x14ac:dyDescent="0.2"/>
    <row r="4" spans="2:2" s="63" customFormat="1" x14ac:dyDescent="0.2"/>
    <row r="5" spans="2:2" s="63" customFormat="1" x14ac:dyDescent="0.2"/>
    <row r="6" spans="2:2" x14ac:dyDescent="0.2"/>
    <row r="7" spans="2:2" x14ac:dyDescent="0.2"/>
    <row r="8" spans="2:2" ht="18.75" customHeight="1" x14ac:dyDescent="0.2">
      <c r="B8" s="96" t="s">
        <v>193</v>
      </c>
    </row>
    <row r="9" spans="2:2" x14ac:dyDescent="0.2">
      <c r="B9" s="37" t="s">
        <v>194</v>
      </c>
    </row>
    <row r="10" spans="2:2" x14ac:dyDescent="0.2">
      <c r="B10" s="37" t="s">
        <v>195</v>
      </c>
    </row>
    <row r="11" spans="2:2" x14ac:dyDescent="0.2">
      <c r="B11" s="37" t="s">
        <v>196</v>
      </c>
    </row>
    <row r="12" spans="2:2" x14ac:dyDescent="0.2"/>
    <row r="13" spans="2:2" x14ac:dyDescent="0.2"/>
    <row r="14" spans="2:2" x14ac:dyDescent="0.2"/>
    <row r="15" spans="2:2" x14ac:dyDescent="0.2"/>
    <row r="16" spans="2:2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CF9F8-98A9-41C5-BE0D-5EAB1A2AF12D}">
  <sheetPr codeName="Planilha20">
    <tabColor theme="3"/>
  </sheetPr>
  <dimension ref="A1:N100"/>
  <sheetViews>
    <sheetView showGridLines="0" showRowColHeaders="0" workbookViewId="0">
      <pane ySplit="8" topLeftCell="A9" activePane="bottomLeft" state="frozen"/>
      <selection pane="bottomLeft"/>
    </sheetView>
  </sheetViews>
  <sheetFormatPr defaultColWidth="0" defaultRowHeight="15" zeroHeight="1" x14ac:dyDescent="0.2"/>
  <cols>
    <col min="1" max="1" width="6.85546875" style="37" customWidth="1"/>
    <col min="2" max="2" width="9.140625" style="61" customWidth="1"/>
    <col min="3" max="3" width="42.28515625" style="61" customWidth="1"/>
    <col min="4" max="6" width="52.7109375" style="37" customWidth="1"/>
    <col min="7" max="7" width="38" style="37" customWidth="1"/>
    <col min="8" max="8" width="16.42578125" style="37" customWidth="1"/>
    <col min="9" max="9" width="17.7109375" style="37" customWidth="1"/>
    <col min="10" max="10" width="16.85546875" style="37" bestFit="1" customWidth="1"/>
    <col min="11" max="11" width="13.5703125" style="37" bestFit="1" customWidth="1"/>
    <col min="12" max="12" width="15.140625" style="37" bestFit="1" customWidth="1"/>
    <col min="13" max="13" width="14.7109375" style="37" customWidth="1"/>
    <col min="14" max="14" width="9.140625" style="37" customWidth="1"/>
    <col min="15" max="16384" width="9.140625" style="37" hidden="1"/>
  </cols>
  <sheetData>
    <row r="1" spans="2:13" s="83" customFormat="1" ht="15.75" customHeight="1" x14ac:dyDescent="0.2">
      <c r="B1" s="79"/>
      <c r="C1" s="79"/>
    </row>
    <row r="2" spans="2:13" s="83" customFormat="1" x14ac:dyDescent="0.2">
      <c r="B2" s="79"/>
      <c r="C2" s="79"/>
    </row>
    <row r="3" spans="2:13" s="83" customFormat="1" x14ac:dyDescent="0.2">
      <c r="B3" s="79"/>
      <c r="C3" s="79"/>
    </row>
    <row r="4" spans="2:13" s="63" customFormat="1" x14ac:dyDescent="0.2">
      <c r="B4" s="68"/>
      <c r="C4" s="68"/>
    </row>
    <row r="5" spans="2:13" s="63" customFormat="1" x14ac:dyDescent="0.2">
      <c r="B5" s="68"/>
      <c r="C5" s="68"/>
    </row>
    <row r="6" spans="2:13" x14ac:dyDescent="0.2"/>
    <row r="7" spans="2:13" ht="16.5" customHeight="1" x14ac:dyDescent="0.2"/>
    <row r="8" spans="2:13" s="85" customFormat="1" ht="33.75" customHeight="1" x14ac:dyDescent="0.25">
      <c r="B8" s="86" t="s">
        <v>109</v>
      </c>
      <c r="C8" s="86" t="s">
        <v>192</v>
      </c>
      <c r="D8" s="86" t="s">
        <v>135</v>
      </c>
      <c r="E8" s="86" t="s">
        <v>146</v>
      </c>
      <c r="F8" s="86" t="s">
        <v>139</v>
      </c>
      <c r="G8" s="86" t="s">
        <v>140</v>
      </c>
      <c r="H8" s="86" t="s">
        <v>143</v>
      </c>
      <c r="I8" s="86" t="s">
        <v>142</v>
      </c>
      <c r="J8" s="86" t="s">
        <v>141</v>
      </c>
      <c r="K8" s="86" t="s">
        <v>144</v>
      </c>
      <c r="L8" s="86" t="s">
        <v>145</v>
      </c>
      <c r="M8" s="86" t="s">
        <v>137</v>
      </c>
    </row>
    <row r="9" spans="2:13" x14ac:dyDescent="0.2">
      <c r="B9" s="61">
        <v>1</v>
      </c>
      <c r="C9" s="61" t="s">
        <v>194</v>
      </c>
      <c r="D9" s="37" t="s">
        <v>155</v>
      </c>
      <c r="E9" s="37" t="str">
        <f>Tabela10[[#This Row],[Meta]]</f>
        <v>Superar 1000 inscritos no Youtube</v>
      </c>
      <c r="F9" s="37" t="s">
        <v>156</v>
      </c>
      <c r="G9" s="37" t="s">
        <v>157</v>
      </c>
      <c r="H9" s="37" t="s">
        <v>136</v>
      </c>
      <c r="I9" s="37" t="s">
        <v>136</v>
      </c>
      <c r="J9" s="37" t="s">
        <v>136</v>
      </c>
      <c r="K9" s="37" t="s">
        <v>136</v>
      </c>
      <c r="L9" s="37" t="s">
        <v>136</v>
      </c>
      <c r="M9" s="37" t="str">
        <f>IF(AND(H9="Sim",I9="Sim",J9="Sim",K9="Sim",L9="Sim"),"Sim","Não")</f>
        <v>Sim</v>
      </c>
    </row>
    <row r="10" spans="2:13" x14ac:dyDescent="0.2">
      <c r="B10" s="61">
        <v>2</v>
      </c>
      <c r="C10" s="61" t="s">
        <v>195</v>
      </c>
      <c r="D10" s="37" t="s">
        <v>165</v>
      </c>
      <c r="E10" s="37" t="s">
        <v>197</v>
      </c>
      <c r="F10" s="37" t="s">
        <v>198</v>
      </c>
      <c r="G10" s="37" t="s">
        <v>199</v>
      </c>
      <c r="H10" s="37" t="s">
        <v>138</v>
      </c>
      <c r="I10" s="37" t="s">
        <v>138</v>
      </c>
      <c r="J10" s="37" t="s">
        <v>136</v>
      </c>
      <c r="K10" s="37" t="s">
        <v>136</v>
      </c>
      <c r="L10" s="37" t="s">
        <v>136</v>
      </c>
      <c r="M10" s="87" t="str">
        <f>IF(AND(H10="Sim",I10="Sim",J10="Sim",K10="Sim",L10="Sim"),"Sim","Não")</f>
        <v>Não</v>
      </c>
    </row>
    <row r="11" spans="2:13" x14ac:dyDescent="0.2"/>
    <row r="12" spans="2:13" x14ac:dyDescent="0.2"/>
    <row r="13" spans="2:13" x14ac:dyDescent="0.2"/>
    <row r="14" spans="2:13" x14ac:dyDescent="0.2"/>
    <row r="15" spans="2:13" x14ac:dyDescent="0.2"/>
    <row r="16" spans="2:13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</sheetData>
  <phoneticPr fontId="8" type="noConversion"/>
  <conditionalFormatting sqref="M9:M10">
    <cfRule type="cellIs" dxfId="164" priority="5" operator="equal">
      <formula>"Não"</formula>
    </cfRule>
    <cfRule type="cellIs" dxfId="163" priority="6" operator="equal">
      <formula>"Sim"</formula>
    </cfRule>
  </conditionalFormatting>
  <conditionalFormatting sqref="H9:H10">
    <cfRule type="cellIs" dxfId="162" priority="3" operator="equal">
      <formula>"Sim"</formula>
    </cfRule>
    <cfRule type="cellIs" dxfId="161" priority="4" operator="equal">
      <formula>"Não"</formula>
    </cfRule>
  </conditionalFormatting>
  <conditionalFormatting sqref="I9:L10">
    <cfRule type="cellIs" dxfId="160" priority="1" operator="equal">
      <formula>"Sim"</formula>
    </cfRule>
    <cfRule type="cellIs" dxfId="159" priority="2" operator="equal">
      <formula>"Não"</formula>
    </cfRule>
  </conditionalFormatting>
  <dataValidations count="2">
    <dataValidation type="list" allowBlank="1" showInputMessage="1" showErrorMessage="1" sqref="H9:L10" xr:uid="{78CB9EFD-312E-4E96-8649-908EBD93D358}">
      <formula1>"Sim,Não"</formula1>
    </dataValidation>
    <dataValidation type="list" allowBlank="1" showInputMessage="1" showErrorMessage="1" sqref="C9:C10" xr:uid="{36AB4926-3C49-4159-857D-0BA44534DBCC}">
      <formula1>obj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CFD2-3D9A-4660-9FC3-1A70CC24CA91}">
  <sheetPr codeName="Planilha21">
    <tabColor theme="3"/>
  </sheetPr>
  <dimension ref="A1:N100"/>
  <sheetViews>
    <sheetView showGridLines="0" showRowColHeaders="0" workbookViewId="0">
      <pane ySplit="8" topLeftCell="A9" activePane="bottomLeft" state="frozen"/>
      <selection pane="bottomLeft"/>
    </sheetView>
  </sheetViews>
  <sheetFormatPr defaultColWidth="0" defaultRowHeight="15" zeroHeight="1" x14ac:dyDescent="0.2"/>
  <cols>
    <col min="1" max="1" width="1.5703125" style="37" customWidth="1"/>
    <col min="2" max="2" width="9.140625" style="61" customWidth="1"/>
    <col min="3" max="3" width="46.28515625" style="37" customWidth="1"/>
    <col min="4" max="4" width="26.5703125" style="37" customWidth="1"/>
    <col min="5" max="5" width="17.85546875" style="88" customWidth="1"/>
    <col min="6" max="6" width="25.7109375" style="91" customWidth="1"/>
    <col min="7" max="7" width="41.28515625" style="91" customWidth="1"/>
    <col min="8" max="8" width="29.42578125" style="61" customWidth="1"/>
    <col min="9" max="9" width="21.7109375" style="61" customWidth="1"/>
    <col min="10" max="10" width="23.42578125" style="37" customWidth="1"/>
    <col min="11" max="11" width="9.140625" style="37" customWidth="1"/>
    <col min="12" max="14" width="0" style="37" hidden="1" customWidth="1"/>
    <col min="15" max="16384" width="9.140625" style="37" hidden="1"/>
  </cols>
  <sheetData>
    <row r="1" spans="2:10" s="83" customFormat="1" x14ac:dyDescent="0.2">
      <c r="B1" s="79"/>
      <c r="E1" s="103"/>
      <c r="F1" s="104"/>
      <c r="G1" s="104"/>
      <c r="H1" s="79"/>
      <c r="I1" s="79"/>
    </row>
    <row r="2" spans="2:10" s="83" customFormat="1" x14ac:dyDescent="0.2">
      <c r="B2" s="79"/>
      <c r="E2" s="103"/>
      <c r="F2" s="104"/>
      <c r="G2" s="104"/>
      <c r="H2" s="79"/>
      <c r="I2" s="79"/>
    </row>
    <row r="3" spans="2:10" s="83" customFormat="1" x14ac:dyDescent="0.2">
      <c r="B3" s="79"/>
      <c r="E3" s="103"/>
      <c r="F3" s="104"/>
      <c r="G3" s="104"/>
      <c r="H3" s="79"/>
      <c r="I3" s="79"/>
    </row>
    <row r="4" spans="2:10" s="63" customFormat="1" x14ac:dyDescent="0.2">
      <c r="B4" s="68"/>
      <c r="E4" s="105"/>
      <c r="F4" s="106"/>
      <c r="G4" s="106"/>
      <c r="H4" s="68"/>
      <c r="I4" s="68"/>
    </row>
    <row r="5" spans="2:10" s="63" customFormat="1" x14ac:dyDescent="0.2">
      <c r="B5" s="68"/>
      <c r="E5" s="105"/>
      <c r="F5" s="106"/>
      <c r="G5" s="106"/>
      <c r="H5" s="68"/>
      <c r="I5" s="68"/>
    </row>
    <row r="6" spans="2:10" x14ac:dyDescent="0.2"/>
    <row r="7" spans="2:10" x14ac:dyDescent="0.2"/>
    <row r="8" spans="2:10" s="90" customFormat="1" ht="33.75" customHeight="1" x14ac:dyDescent="0.25">
      <c r="B8" s="86" t="s">
        <v>109</v>
      </c>
      <c r="C8" s="86" t="s">
        <v>135</v>
      </c>
      <c r="D8" s="86" t="s">
        <v>147</v>
      </c>
      <c r="E8" s="89" t="s">
        <v>148</v>
      </c>
      <c r="F8" s="92" t="s">
        <v>152</v>
      </c>
      <c r="G8" s="92" t="s">
        <v>154</v>
      </c>
      <c r="H8" s="86" t="s">
        <v>153</v>
      </c>
      <c r="I8" s="86" t="s">
        <v>149</v>
      </c>
      <c r="J8" s="86" t="s">
        <v>31</v>
      </c>
    </row>
    <row r="9" spans="2:10" x14ac:dyDescent="0.2">
      <c r="B9" s="61">
        <v>1</v>
      </c>
      <c r="C9" s="37" t="s">
        <v>155</v>
      </c>
      <c r="D9" s="37" t="s">
        <v>158</v>
      </c>
      <c r="E9" s="88">
        <v>43863</v>
      </c>
      <c r="F9" s="91">
        <v>10</v>
      </c>
      <c r="G9" s="91" t="s">
        <v>159</v>
      </c>
      <c r="H9" s="61">
        <v>1000</v>
      </c>
      <c r="I9" s="61">
        <v>50</v>
      </c>
      <c r="J9" s="37" t="str">
        <f>IF(I9&lt;H9,"Abaixo da meta",IF(H9=I9,"Meta atingida","Meta superada"))</f>
        <v>Abaixo da meta</v>
      </c>
    </row>
    <row r="10" spans="2:10" x14ac:dyDescent="0.2">
      <c r="B10" s="61">
        <v>2</v>
      </c>
      <c r="C10" s="37" t="s">
        <v>150</v>
      </c>
      <c r="D10" s="37" t="s">
        <v>151</v>
      </c>
      <c r="E10" s="88">
        <v>44107</v>
      </c>
      <c r="F10" s="91">
        <v>2</v>
      </c>
      <c r="G10" s="91" t="s">
        <v>160</v>
      </c>
      <c r="H10" s="93">
        <v>0.1</v>
      </c>
      <c r="I10" s="93">
        <v>0.05</v>
      </c>
      <c r="J10" s="37" t="str">
        <f>IF(I10&lt;H10,"Abaixo da meta",IF(H10=I10,"Meta atingida","Meta superada"))</f>
        <v>Abaixo da meta</v>
      </c>
    </row>
    <row r="11" spans="2:10" x14ac:dyDescent="0.2">
      <c r="B11" s="61">
        <v>3</v>
      </c>
      <c r="C11" s="37" t="s">
        <v>164</v>
      </c>
      <c r="D11" s="37" t="s">
        <v>158</v>
      </c>
      <c r="E11" s="88">
        <v>43900</v>
      </c>
      <c r="F11" s="91">
        <v>3</v>
      </c>
      <c r="G11" s="91" t="s">
        <v>43</v>
      </c>
      <c r="H11" s="61">
        <v>50</v>
      </c>
      <c r="I11" s="61">
        <v>50</v>
      </c>
      <c r="J11" s="37" t="str">
        <f>IF(I11&lt;H11,"Abaixo da meta",IF(H11=I11,"Meta atingida","Meta superada"))</f>
        <v>Meta atingida</v>
      </c>
    </row>
    <row r="12" spans="2:10" x14ac:dyDescent="0.2">
      <c r="B12" s="61">
        <v>4</v>
      </c>
      <c r="C12" s="37" t="s">
        <v>168</v>
      </c>
      <c r="D12" s="37" t="s">
        <v>151</v>
      </c>
      <c r="E12" s="88">
        <v>43936</v>
      </c>
      <c r="F12" s="91">
        <v>4</v>
      </c>
      <c r="G12" s="91" t="s">
        <v>167</v>
      </c>
      <c r="H12" s="61">
        <v>500</v>
      </c>
      <c r="I12" s="61">
        <v>1000</v>
      </c>
      <c r="J12" s="37" t="str">
        <f>IF(I12&lt;H12,"Abaixo da meta",IF(H12=I12,"Meta atingida","Meta superada"))</f>
        <v>Meta superada</v>
      </c>
    </row>
    <row r="13" spans="2:10" x14ac:dyDescent="0.2">
      <c r="B13" s="61">
        <v>5</v>
      </c>
      <c r="C13" s="37" t="s">
        <v>177</v>
      </c>
      <c r="D13" s="37" t="s">
        <v>158</v>
      </c>
      <c r="E13" s="88">
        <v>43967</v>
      </c>
      <c r="F13" s="91">
        <v>5</v>
      </c>
      <c r="G13" s="91" t="s">
        <v>181</v>
      </c>
      <c r="H13" s="61">
        <v>1000</v>
      </c>
      <c r="I13" s="61">
        <v>2000</v>
      </c>
      <c r="J13" s="37" t="str">
        <f>IF(I13&lt;H13,"Abaixo da meta",IF(H13=I13,"Meta atingida","Meta superada"))</f>
        <v>Meta superada</v>
      </c>
    </row>
    <row r="14" spans="2:10" x14ac:dyDescent="0.2"/>
    <row r="15" spans="2:10" x14ac:dyDescent="0.2"/>
    <row r="16" spans="2:10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</sheetData>
  <conditionalFormatting sqref="D9:D13">
    <cfRule type="cellIs" dxfId="144" priority="9" operator="equal">
      <formula>"Quanto menor melhor"</formula>
    </cfRule>
    <cfRule type="cellIs" dxfId="143" priority="10" operator="equal">
      <formula>"Quanto maior melhor"</formula>
    </cfRule>
  </conditionalFormatting>
  <conditionalFormatting sqref="J9:J13">
    <cfRule type="cellIs" dxfId="142" priority="1" operator="equal">
      <formula>"Abaixo da meta"</formula>
    </cfRule>
    <cfRule type="cellIs" dxfId="141" priority="2" operator="equal">
      <formula>"Meta superada"</formula>
    </cfRule>
    <cfRule type="cellIs" dxfId="140" priority="3" operator="equal">
      <formula>"Meta Atingida"</formula>
    </cfRule>
  </conditionalFormatting>
  <dataValidations count="2">
    <dataValidation type="list" allowBlank="1" showInputMessage="1" showErrorMessage="1" sqref="C9:C13" xr:uid="{266DFDFB-E591-473B-B31A-C2BF6EF16D58}">
      <formula1>metas</formula1>
    </dataValidation>
    <dataValidation type="list" allowBlank="1" showInputMessage="1" showErrorMessage="1" sqref="D9:D13" xr:uid="{27A2F497-EF68-4DC4-B534-2B41678F1152}">
      <formula1>"Quanto menor melhor,Quanto maior melhor"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514A2-F798-4062-AD5F-58564EEB6DC1}">
  <sheetPr codeName="Planilha5"/>
  <dimension ref="A1:T30"/>
  <sheetViews>
    <sheetView showGridLines="0" showRowColHeaders="0" zoomScaleNormal="100" workbookViewId="0">
      <pane ySplit="8" topLeftCell="A9" activePane="bottomLeft" state="frozen"/>
      <selection pane="bottomLeft"/>
    </sheetView>
  </sheetViews>
  <sheetFormatPr defaultRowHeight="15" x14ac:dyDescent="0.2"/>
  <cols>
    <col min="1" max="1" width="14.7109375" style="27" customWidth="1"/>
    <col min="2" max="2" width="35.42578125" style="27" customWidth="1"/>
    <col min="3" max="3" width="31.7109375" style="3" customWidth="1"/>
    <col min="4" max="4" width="16.42578125" style="10" customWidth="1"/>
    <col min="5" max="5" width="40.85546875" style="3" customWidth="1"/>
    <col min="6" max="6" width="31.42578125" style="3" customWidth="1"/>
    <col min="7" max="7" width="29.28515625" style="3" customWidth="1"/>
    <col min="8" max="8" width="26.28515625" style="3" customWidth="1"/>
    <col min="9" max="9" width="22.140625" style="15" customWidth="1"/>
    <col min="10" max="10" width="9" style="29" hidden="1" customWidth="1"/>
    <col min="11" max="11" width="12.7109375" style="10" customWidth="1"/>
    <col min="12" max="12" width="17.28515625" style="15" customWidth="1"/>
    <col min="13" max="13" width="16.7109375" style="15" customWidth="1"/>
    <col min="14" max="14" width="13.42578125" style="10" customWidth="1"/>
    <col min="15" max="15" width="30.5703125" style="3" customWidth="1"/>
    <col min="16" max="16" width="53.85546875" style="3" customWidth="1"/>
    <col min="17" max="17" width="29" style="18" customWidth="1"/>
    <col min="18" max="18" width="17.140625" style="18" customWidth="1"/>
    <col min="19" max="19" width="17.85546875" style="18" customWidth="1"/>
    <col min="20" max="20" width="19.7109375" style="3" customWidth="1"/>
    <col min="21" max="16384" width="9.140625" style="17"/>
  </cols>
  <sheetData>
    <row r="1" spans="1:20" s="1" customFormat="1" x14ac:dyDescent="0.25"/>
    <row r="2" spans="1:20" s="1" customFormat="1" x14ac:dyDescent="0.25"/>
    <row r="3" spans="1:20" s="1" customFormat="1" x14ac:dyDescent="0.25"/>
    <row r="4" spans="1:20" s="2" customFormat="1" x14ac:dyDescent="0.25"/>
    <row r="5" spans="1:20" s="2" customFormat="1" x14ac:dyDescent="0.25"/>
    <row r="8" spans="1:20" s="16" customFormat="1" ht="30.75" customHeight="1" thickBot="1" x14ac:dyDescent="0.3">
      <c r="A8" s="19" t="s">
        <v>40</v>
      </c>
      <c r="B8" s="20" t="s">
        <v>135</v>
      </c>
      <c r="C8" s="20" t="s">
        <v>14</v>
      </c>
      <c r="D8" s="20" t="s">
        <v>18</v>
      </c>
      <c r="E8" s="20" t="s">
        <v>19</v>
      </c>
      <c r="F8" s="20" t="s">
        <v>20</v>
      </c>
      <c r="G8" s="20" t="s">
        <v>21</v>
      </c>
      <c r="H8" s="22" t="s">
        <v>1</v>
      </c>
      <c r="I8" s="21" t="s">
        <v>22</v>
      </c>
      <c r="J8" s="30" t="s">
        <v>48</v>
      </c>
      <c r="K8" s="22" t="s">
        <v>23</v>
      </c>
      <c r="L8" s="23" t="s">
        <v>24</v>
      </c>
      <c r="M8" s="23" t="s">
        <v>26</v>
      </c>
      <c r="N8" s="22" t="s">
        <v>27</v>
      </c>
      <c r="O8" s="20" t="s">
        <v>25</v>
      </c>
      <c r="P8" s="20" t="s">
        <v>28</v>
      </c>
      <c r="Q8" s="24" t="s">
        <v>29</v>
      </c>
      <c r="R8" s="25" t="s">
        <v>30</v>
      </c>
      <c r="S8" s="25" t="s">
        <v>39</v>
      </c>
      <c r="T8" s="26" t="s">
        <v>31</v>
      </c>
    </row>
    <row r="9" spans="1:20" x14ac:dyDescent="0.2">
      <c r="A9" s="27">
        <v>1</v>
      </c>
      <c r="B9" s="27" t="s">
        <v>155</v>
      </c>
      <c r="C9" s="3" t="s">
        <v>15</v>
      </c>
      <c r="D9" s="10" t="s">
        <v>33</v>
      </c>
      <c r="E9" s="3" t="s">
        <v>41</v>
      </c>
      <c r="F9" s="3" t="s">
        <v>42</v>
      </c>
      <c r="G9" s="3" t="s">
        <v>11</v>
      </c>
      <c r="H9" s="3" t="s">
        <v>5</v>
      </c>
      <c r="I9" s="15">
        <v>43831</v>
      </c>
      <c r="J9" s="29">
        <f>MONTH(Tabela5[[#This Row],[When - Data de início]])</f>
        <v>1</v>
      </c>
      <c r="K9" s="10">
        <f>DATEDIF(I9,L9,"d")</f>
        <v>2</v>
      </c>
      <c r="L9" s="15">
        <v>43833</v>
      </c>
      <c r="M9" s="15">
        <v>43833</v>
      </c>
      <c r="N9" s="10">
        <f>IFERROR((DATEDIF(M9,L9,"d")),(DATEDIF(L9,M9,"d"))*(-1))</f>
        <v>0</v>
      </c>
      <c r="O9" s="3" t="s">
        <v>43</v>
      </c>
      <c r="P9" s="3" t="s">
        <v>44</v>
      </c>
      <c r="Q9" s="18">
        <v>0</v>
      </c>
      <c r="R9" s="18">
        <v>5</v>
      </c>
      <c r="S9" s="18">
        <f>Q9-R9</f>
        <v>-5</v>
      </c>
      <c r="T9" s="3" t="s">
        <v>37</v>
      </c>
    </row>
    <row r="10" spans="1:20" x14ac:dyDescent="0.2">
      <c r="A10" s="27">
        <v>2</v>
      </c>
      <c r="B10" s="27" t="s">
        <v>150</v>
      </c>
      <c r="C10" s="3" t="s">
        <v>16</v>
      </c>
      <c r="D10" s="10" t="s">
        <v>35</v>
      </c>
      <c r="E10" s="3" t="s">
        <v>161</v>
      </c>
      <c r="F10" s="3" t="s">
        <v>162</v>
      </c>
      <c r="G10" s="3" t="s">
        <v>13</v>
      </c>
      <c r="H10" s="3" t="s">
        <v>4</v>
      </c>
      <c r="I10" s="15">
        <v>43840</v>
      </c>
      <c r="J10" s="29">
        <f>MONTH(Tabela5[[#This Row],[When - Data de início]])</f>
        <v>1</v>
      </c>
      <c r="K10" s="10">
        <f>DATEDIF(I10,L10,"d")</f>
        <v>3</v>
      </c>
      <c r="L10" s="15">
        <v>43843</v>
      </c>
      <c r="M10" s="15">
        <v>43844</v>
      </c>
      <c r="N10" s="10">
        <f>IFERROR((DATEDIF(M10,L10,"d")),(DATEDIF(L10,M10,"d"))*(-1))</f>
        <v>-1</v>
      </c>
      <c r="O10" s="3" t="s">
        <v>163</v>
      </c>
      <c r="P10" s="3" t="s">
        <v>43</v>
      </c>
      <c r="Q10" s="18">
        <v>10</v>
      </c>
      <c r="R10" s="18">
        <v>5</v>
      </c>
      <c r="S10" s="18">
        <f>Q10-R10</f>
        <v>5</v>
      </c>
      <c r="T10" s="3" t="s">
        <v>36</v>
      </c>
    </row>
    <row r="11" spans="1:20" x14ac:dyDescent="0.2">
      <c r="A11" s="27">
        <v>3</v>
      </c>
      <c r="B11" s="27" t="s">
        <v>164</v>
      </c>
      <c r="C11" s="3" t="s">
        <v>17</v>
      </c>
      <c r="D11" s="10" t="s">
        <v>33</v>
      </c>
      <c r="E11" s="3" t="s">
        <v>169</v>
      </c>
      <c r="F11" s="3" t="s">
        <v>170</v>
      </c>
      <c r="G11" s="3" t="s">
        <v>9</v>
      </c>
      <c r="H11" s="3" t="s">
        <v>7</v>
      </c>
      <c r="I11" s="15">
        <v>43849</v>
      </c>
      <c r="J11" s="29">
        <f>MONTH(Tabela5[[#This Row],[When - Data de início]])</f>
        <v>1</v>
      </c>
      <c r="K11" s="10">
        <f>DATEDIF(I11,L11,"d")</f>
        <v>4</v>
      </c>
      <c r="L11" s="15">
        <v>43853</v>
      </c>
      <c r="M11" s="15">
        <v>43853</v>
      </c>
      <c r="N11" s="10">
        <f>IFERROR((DATEDIF(M11,L11,"d")),(DATEDIF(L11,M11,"d"))*(-1))</f>
        <v>0</v>
      </c>
      <c r="O11" s="3" t="s">
        <v>171</v>
      </c>
      <c r="P11" s="3" t="s">
        <v>43</v>
      </c>
      <c r="Q11" s="18">
        <v>50</v>
      </c>
      <c r="R11" s="18">
        <v>50</v>
      </c>
      <c r="S11" s="18">
        <f>Q11-R11</f>
        <v>0</v>
      </c>
      <c r="T11" s="3" t="s">
        <v>38</v>
      </c>
    </row>
    <row r="12" spans="1:20" x14ac:dyDescent="0.2">
      <c r="A12" s="27">
        <v>4</v>
      </c>
      <c r="B12" s="27" t="s">
        <v>166</v>
      </c>
      <c r="C12" s="3" t="s">
        <v>16</v>
      </c>
      <c r="D12" s="10" t="s">
        <v>34</v>
      </c>
      <c r="E12" s="3" t="s">
        <v>43</v>
      </c>
      <c r="F12" s="3" t="s">
        <v>43</v>
      </c>
      <c r="G12" s="3" t="s">
        <v>32</v>
      </c>
      <c r="H12" s="3" t="s">
        <v>8</v>
      </c>
      <c r="I12" s="15">
        <v>43858</v>
      </c>
      <c r="J12" s="29">
        <f>MONTH(Tabela5[[#This Row],[When - Data de início]])</f>
        <v>1</v>
      </c>
      <c r="K12" s="10">
        <f>DATEDIF(I12,L12,"d")</f>
        <v>5</v>
      </c>
      <c r="L12" s="15">
        <v>43863</v>
      </c>
      <c r="M12" s="15">
        <v>43862</v>
      </c>
      <c r="N12" s="10">
        <f>IFERROR((DATEDIF(M12,L12,"d")),(DATEDIF(L12,M12,"d"))*(-1))</f>
        <v>1</v>
      </c>
      <c r="O12" s="3" t="s">
        <v>172</v>
      </c>
      <c r="P12" s="3" t="s">
        <v>173</v>
      </c>
      <c r="Q12" s="18">
        <v>15</v>
      </c>
      <c r="R12" s="18">
        <v>20</v>
      </c>
      <c r="S12" s="18">
        <f>Q12-R12</f>
        <v>-5</v>
      </c>
      <c r="T12" s="3" t="s">
        <v>37</v>
      </c>
    </row>
    <row r="13" spans="1:20" x14ac:dyDescent="0.2">
      <c r="A13" s="27">
        <v>5</v>
      </c>
      <c r="B13" s="27" t="s">
        <v>155</v>
      </c>
      <c r="C13" s="3" t="s">
        <v>15</v>
      </c>
      <c r="D13" s="10" t="s">
        <v>33</v>
      </c>
      <c r="E13" s="3" t="s">
        <v>41</v>
      </c>
      <c r="F13" s="3" t="s">
        <v>42</v>
      </c>
      <c r="G13" s="3" t="s">
        <v>11</v>
      </c>
      <c r="H13" s="3" t="s">
        <v>5</v>
      </c>
      <c r="I13" s="15">
        <v>43867</v>
      </c>
      <c r="J13" s="29">
        <f>MONTH(Tabela5[[#This Row],[When - Data de início]])</f>
        <v>2</v>
      </c>
      <c r="K13" s="10">
        <f t="shared" ref="K13:K30" si="0">DATEDIF(I13,L13,"d")</f>
        <v>6</v>
      </c>
      <c r="L13" s="15">
        <v>43873</v>
      </c>
      <c r="M13" s="15">
        <v>43833</v>
      </c>
      <c r="N13" s="10">
        <f t="shared" ref="N13:N30" si="1">IFERROR((DATEDIF(M13,L13,"d")),(DATEDIF(L13,M13,"d"))*(-1))</f>
        <v>40</v>
      </c>
      <c r="O13" s="3" t="s">
        <v>43</v>
      </c>
      <c r="P13" s="3" t="s">
        <v>44</v>
      </c>
      <c r="Q13" s="18">
        <v>40</v>
      </c>
      <c r="R13" s="18">
        <v>42.5</v>
      </c>
      <c r="S13" s="18">
        <f t="shared" ref="S13:S30" si="2">Q13-R13</f>
        <v>-2.5</v>
      </c>
      <c r="T13" s="3" t="s">
        <v>37</v>
      </c>
    </row>
    <row r="14" spans="1:20" x14ac:dyDescent="0.2">
      <c r="A14" s="27">
        <v>6</v>
      </c>
      <c r="B14" s="27" t="s">
        <v>150</v>
      </c>
      <c r="C14" s="3" t="s">
        <v>16</v>
      </c>
      <c r="D14" s="10" t="s">
        <v>35</v>
      </c>
      <c r="E14" s="3" t="s">
        <v>161</v>
      </c>
      <c r="F14" s="3" t="s">
        <v>162</v>
      </c>
      <c r="G14" s="3" t="s">
        <v>13</v>
      </c>
      <c r="H14" s="3" t="s">
        <v>4</v>
      </c>
      <c r="I14" s="15">
        <v>43876</v>
      </c>
      <c r="J14" s="29">
        <f>MONTH(Tabela5[[#This Row],[When - Data de início]])</f>
        <v>2</v>
      </c>
      <c r="K14" s="10">
        <f t="shared" si="0"/>
        <v>7</v>
      </c>
      <c r="L14" s="15">
        <v>43883</v>
      </c>
      <c r="M14" s="15">
        <v>43844</v>
      </c>
      <c r="N14" s="10">
        <f t="shared" si="1"/>
        <v>39</v>
      </c>
      <c r="O14" s="3" t="s">
        <v>163</v>
      </c>
      <c r="P14" s="3" t="s">
        <v>43</v>
      </c>
      <c r="Q14" s="18">
        <v>48.5</v>
      </c>
      <c r="R14" s="18">
        <v>51.5</v>
      </c>
      <c r="S14" s="18">
        <f t="shared" si="2"/>
        <v>-3</v>
      </c>
      <c r="T14" s="3" t="s">
        <v>36</v>
      </c>
    </row>
    <row r="15" spans="1:20" x14ac:dyDescent="0.2">
      <c r="A15" s="27">
        <v>7</v>
      </c>
      <c r="B15" s="27" t="s">
        <v>164</v>
      </c>
      <c r="C15" s="3" t="s">
        <v>17</v>
      </c>
      <c r="D15" s="10" t="s">
        <v>33</v>
      </c>
      <c r="E15" s="3" t="s">
        <v>169</v>
      </c>
      <c r="F15" s="3" t="s">
        <v>170</v>
      </c>
      <c r="G15" s="3" t="s">
        <v>9</v>
      </c>
      <c r="H15" s="3" t="s">
        <v>7</v>
      </c>
      <c r="I15" s="15">
        <v>43885</v>
      </c>
      <c r="J15" s="29">
        <f>MONTH(Tabela5[[#This Row],[When - Data de início]])</f>
        <v>2</v>
      </c>
      <c r="K15" s="10">
        <f t="shared" si="0"/>
        <v>8</v>
      </c>
      <c r="L15" s="15">
        <v>43893</v>
      </c>
      <c r="M15" s="15">
        <v>43853</v>
      </c>
      <c r="N15" s="10">
        <f t="shared" si="1"/>
        <v>40</v>
      </c>
      <c r="O15" s="3" t="s">
        <v>171</v>
      </c>
      <c r="P15" s="3" t="s">
        <v>43</v>
      </c>
      <c r="Q15" s="18">
        <v>57</v>
      </c>
      <c r="R15" s="18">
        <v>60.5</v>
      </c>
      <c r="S15" s="18">
        <f t="shared" si="2"/>
        <v>-3.5</v>
      </c>
      <c r="T15" s="3" t="s">
        <v>38</v>
      </c>
    </row>
    <row r="16" spans="1:20" x14ac:dyDescent="0.2">
      <c r="A16" s="27">
        <v>8</v>
      </c>
      <c r="B16" s="27" t="s">
        <v>166</v>
      </c>
      <c r="C16" s="3" t="s">
        <v>16</v>
      </c>
      <c r="D16" s="10" t="s">
        <v>34</v>
      </c>
      <c r="E16" s="3" t="s">
        <v>43</v>
      </c>
      <c r="F16" s="3" t="s">
        <v>43</v>
      </c>
      <c r="G16" s="3" t="s">
        <v>32</v>
      </c>
      <c r="H16" s="3" t="s">
        <v>8</v>
      </c>
      <c r="I16" s="15">
        <v>43894</v>
      </c>
      <c r="J16" s="29">
        <f>MONTH(Tabela5[[#This Row],[When - Data de início]])</f>
        <v>3</v>
      </c>
      <c r="K16" s="10">
        <f t="shared" si="0"/>
        <v>9</v>
      </c>
      <c r="L16" s="15">
        <v>43903</v>
      </c>
      <c r="M16" s="15">
        <v>43862</v>
      </c>
      <c r="N16" s="10">
        <f t="shared" si="1"/>
        <v>41</v>
      </c>
      <c r="O16" s="3" t="s">
        <v>172</v>
      </c>
      <c r="P16" s="3" t="s">
        <v>173</v>
      </c>
      <c r="Q16" s="18">
        <v>65.5</v>
      </c>
      <c r="R16" s="18">
        <v>69.5</v>
      </c>
      <c r="S16" s="18">
        <f t="shared" si="2"/>
        <v>-4</v>
      </c>
      <c r="T16" s="3" t="s">
        <v>37</v>
      </c>
    </row>
    <row r="17" spans="1:20" x14ac:dyDescent="0.2">
      <c r="A17" s="27">
        <v>9</v>
      </c>
      <c r="B17" s="27" t="s">
        <v>155</v>
      </c>
      <c r="C17" s="3" t="s">
        <v>15</v>
      </c>
      <c r="D17" s="10" t="s">
        <v>33</v>
      </c>
      <c r="E17" s="3" t="s">
        <v>41</v>
      </c>
      <c r="F17" s="3" t="s">
        <v>42</v>
      </c>
      <c r="G17" s="3" t="s">
        <v>11</v>
      </c>
      <c r="H17" s="3" t="s">
        <v>5</v>
      </c>
      <c r="I17" s="15">
        <v>43903</v>
      </c>
      <c r="J17" s="29">
        <f>MONTH(Tabela5[[#This Row],[When - Data de início]])</f>
        <v>3</v>
      </c>
      <c r="K17" s="10">
        <f t="shared" si="0"/>
        <v>10</v>
      </c>
      <c r="L17" s="15">
        <v>43913</v>
      </c>
      <c r="M17" s="15">
        <v>43833</v>
      </c>
      <c r="N17" s="10">
        <f t="shared" si="1"/>
        <v>80</v>
      </c>
      <c r="O17" s="3" t="s">
        <v>43</v>
      </c>
      <c r="P17" s="3" t="s">
        <v>44</v>
      </c>
      <c r="Q17" s="18">
        <v>74</v>
      </c>
      <c r="R17" s="18">
        <v>78.5</v>
      </c>
      <c r="S17" s="18">
        <f t="shared" si="2"/>
        <v>-4.5</v>
      </c>
      <c r="T17" s="3" t="s">
        <v>37</v>
      </c>
    </row>
    <row r="18" spans="1:20" x14ac:dyDescent="0.2">
      <c r="A18" s="27">
        <v>10</v>
      </c>
      <c r="B18" s="27" t="s">
        <v>150</v>
      </c>
      <c r="C18" s="3" t="s">
        <v>16</v>
      </c>
      <c r="D18" s="10" t="s">
        <v>35</v>
      </c>
      <c r="E18" s="3" t="s">
        <v>161</v>
      </c>
      <c r="F18" s="3" t="s">
        <v>162</v>
      </c>
      <c r="G18" s="3" t="s">
        <v>13</v>
      </c>
      <c r="H18" s="3" t="s">
        <v>4</v>
      </c>
      <c r="I18" s="15">
        <v>43912</v>
      </c>
      <c r="J18" s="29">
        <f>MONTH(Tabela5[[#This Row],[When - Data de início]])</f>
        <v>3</v>
      </c>
      <c r="K18" s="10">
        <f t="shared" si="0"/>
        <v>11</v>
      </c>
      <c r="L18" s="15">
        <v>43923</v>
      </c>
      <c r="M18" s="15">
        <v>43844</v>
      </c>
      <c r="N18" s="10">
        <f t="shared" si="1"/>
        <v>79</v>
      </c>
      <c r="O18" s="3" t="s">
        <v>163</v>
      </c>
      <c r="P18" s="3" t="s">
        <v>43</v>
      </c>
      <c r="Q18" s="18">
        <v>82.5</v>
      </c>
      <c r="R18" s="18">
        <v>87.5</v>
      </c>
      <c r="S18" s="18">
        <f t="shared" si="2"/>
        <v>-5</v>
      </c>
      <c r="T18" s="3" t="s">
        <v>36</v>
      </c>
    </row>
    <row r="19" spans="1:20" x14ac:dyDescent="0.2">
      <c r="A19" s="27">
        <v>11</v>
      </c>
      <c r="B19" s="27" t="s">
        <v>164</v>
      </c>
      <c r="C19" s="3" t="s">
        <v>17</v>
      </c>
      <c r="D19" s="10" t="s">
        <v>33</v>
      </c>
      <c r="E19" s="3" t="s">
        <v>169</v>
      </c>
      <c r="F19" s="3" t="s">
        <v>170</v>
      </c>
      <c r="G19" s="3" t="s">
        <v>9</v>
      </c>
      <c r="H19" s="3" t="s">
        <v>7</v>
      </c>
      <c r="I19" s="15">
        <v>43921</v>
      </c>
      <c r="J19" s="29">
        <f>MONTH(Tabela5[[#This Row],[When - Data de início]])</f>
        <v>3</v>
      </c>
      <c r="K19" s="10">
        <f t="shared" si="0"/>
        <v>12</v>
      </c>
      <c r="L19" s="15">
        <v>43933</v>
      </c>
      <c r="M19" s="15">
        <v>43853</v>
      </c>
      <c r="N19" s="10">
        <f t="shared" si="1"/>
        <v>80</v>
      </c>
      <c r="O19" s="3" t="s">
        <v>171</v>
      </c>
      <c r="P19" s="3" t="s">
        <v>43</v>
      </c>
      <c r="Q19" s="18">
        <v>91</v>
      </c>
      <c r="R19" s="18">
        <v>96.5</v>
      </c>
      <c r="S19" s="18">
        <f t="shared" si="2"/>
        <v>-5.5</v>
      </c>
      <c r="T19" s="3" t="s">
        <v>38</v>
      </c>
    </row>
    <row r="20" spans="1:20" x14ac:dyDescent="0.2">
      <c r="A20" s="27">
        <v>12</v>
      </c>
      <c r="B20" s="27" t="s">
        <v>166</v>
      </c>
      <c r="C20" s="3" t="s">
        <v>16</v>
      </c>
      <c r="D20" s="10" t="s">
        <v>34</v>
      </c>
      <c r="E20" s="3" t="s">
        <v>43</v>
      </c>
      <c r="F20" s="3" t="s">
        <v>43</v>
      </c>
      <c r="G20" s="3" t="s">
        <v>32</v>
      </c>
      <c r="H20" s="3" t="s">
        <v>8</v>
      </c>
      <c r="I20" s="15">
        <v>43930</v>
      </c>
      <c r="J20" s="29">
        <f>MONTH(Tabela5[[#This Row],[When - Data de início]])</f>
        <v>4</v>
      </c>
      <c r="K20" s="10">
        <f t="shared" si="0"/>
        <v>13</v>
      </c>
      <c r="L20" s="15">
        <v>43943</v>
      </c>
      <c r="M20" s="15">
        <v>43862</v>
      </c>
      <c r="N20" s="10">
        <f t="shared" si="1"/>
        <v>81</v>
      </c>
      <c r="O20" s="3" t="s">
        <v>172</v>
      </c>
      <c r="P20" s="3" t="s">
        <v>173</v>
      </c>
      <c r="Q20" s="18">
        <v>99.5</v>
      </c>
      <c r="R20" s="18">
        <v>105.5</v>
      </c>
      <c r="S20" s="18">
        <f t="shared" si="2"/>
        <v>-6</v>
      </c>
      <c r="T20" s="3" t="s">
        <v>37</v>
      </c>
    </row>
    <row r="21" spans="1:20" x14ac:dyDescent="0.2">
      <c r="A21" s="27">
        <v>13</v>
      </c>
      <c r="B21" s="27" t="s">
        <v>155</v>
      </c>
      <c r="C21" s="3" t="s">
        <v>15</v>
      </c>
      <c r="D21" s="10" t="s">
        <v>33</v>
      </c>
      <c r="E21" s="3" t="s">
        <v>41</v>
      </c>
      <c r="F21" s="3" t="s">
        <v>42</v>
      </c>
      <c r="G21" s="3" t="s">
        <v>11</v>
      </c>
      <c r="H21" s="3" t="s">
        <v>5</v>
      </c>
      <c r="I21" s="15">
        <v>43939</v>
      </c>
      <c r="J21" s="29">
        <f>MONTH(Tabela5[[#This Row],[When - Data de início]])</f>
        <v>4</v>
      </c>
      <c r="K21" s="10">
        <f t="shared" si="0"/>
        <v>14</v>
      </c>
      <c r="L21" s="15">
        <v>43953</v>
      </c>
      <c r="M21" s="15">
        <v>43833</v>
      </c>
      <c r="N21" s="10">
        <f t="shared" si="1"/>
        <v>120</v>
      </c>
      <c r="O21" s="3" t="s">
        <v>43</v>
      </c>
      <c r="P21" s="3" t="s">
        <v>44</v>
      </c>
      <c r="Q21" s="18">
        <v>108</v>
      </c>
      <c r="R21" s="18">
        <v>114.5</v>
      </c>
      <c r="S21" s="18">
        <f t="shared" si="2"/>
        <v>-6.5</v>
      </c>
      <c r="T21" s="3" t="s">
        <v>37</v>
      </c>
    </row>
    <row r="22" spans="1:20" x14ac:dyDescent="0.2">
      <c r="A22" s="27">
        <v>14</v>
      </c>
      <c r="B22" s="27" t="s">
        <v>150</v>
      </c>
      <c r="C22" s="3" t="s">
        <v>16</v>
      </c>
      <c r="D22" s="10" t="s">
        <v>35</v>
      </c>
      <c r="E22" s="3" t="s">
        <v>161</v>
      </c>
      <c r="F22" s="3" t="s">
        <v>162</v>
      </c>
      <c r="G22" s="3" t="s">
        <v>13</v>
      </c>
      <c r="H22" s="3" t="s">
        <v>4</v>
      </c>
      <c r="I22" s="15">
        <v>43948</v>
      </c>
      <c r="J22" s="29">
        <f>MONTH(Tabela5[[#This Row],[When - Data de início]])</f>
        <v>4</v>
      </c>
      <c r="K22" s="10">
        <f t="shared" si="0"/>
        <v>15</v>
      </c>
      <c r="L22" s="15">
        <v>43963</v>
      </c>
      <c r="M22" s="15">
        <v>43844</v>
      </c>
      <c r="N22" s="10">
        <f t="shared" si="1"/>
        <v>119</v>
      </c>
      <c r="O22" s="3" t="s">
        <v>163</v>
      </c>
      <c r="P22" s="3" t="s">
        <v>43</v>
      </c>
      <c r="Q22" s="18">
        <v>116.5</v>
      </c>
      <c r="R22" s="18">
        <v>123.5</v>
      </c>
      <c r="S22" s="18">
        <f t="shared" si="2"/>
        <v>-7</v>
      </c>
      <c r="T22" s="3" t="s">
        <v>36</v>
      </c>
    </row>
    <row r="23" spans="1:20" x14ac:dyDescent="0.2">
      <c r="A23" s="27">
        <v>15</v>
      </c>
      <c r="B23" s="27" t="s">
        <v>164</v>
      </c>
      <c r="C23" s="3" t="s">
        <v>17</v>
      </c>
      <c r="D23" s="10" t="s">
        <v>33</v>
      </c>
      <c r="E23" s="3" t="s">
        <v>169</v>
      </c>
      <c r="F23" s="3" t="s">
        <v>170</v>
      </c>
      <c r="G23" s="3" t="s">
        <v>9</v>
      </c>
      <c r="H23" s="3" t="s">
        <v>7</v>
      </c>
      <c r="I23" s="15">
        <v>43957</v>
      </c>
      <c r="J23" s="29">
        <f>MONTH(Tabela5[[#This Row],[When - Data de início]])</f>
        <v>5</v>
      </c>
      <c r="K23" s="10">
        <f t="shared" si="0"/>
        <v>16</v>
      </c>
      <c r="L23" s="15">
        <v>43973</v>
      </c>
      <c r="M23" s="15">
        <v>43853</v>
      </c>
      <c r="N23" s="10">
        <f t="shared" si="1"/>
        <v>120</v>
      </c>
      <c r="O23" s="3" t="s">
        <v>171</v>
      </c>
      <c r="P23" s="3" t="s">
        <v>43</v>
      </c>
      <c r="Q23" s="18">
        <v>125</v>
      </c>
      <c r="R23" s="18">
        <v>132.5</v>
      </c>
      <c r="S23" s="18">
        <f t="shared" si="2"/>
        <v>-7.5</v>
      </c>
      <c r="T23" s="3" t="s">
        <v>38</v>
      </c>
    </row>
    <row r="24" spans="1:20" x14ac:dyDescent="0.2">
      <c r="A24" s="27">
        <v>16</v>
      </c>
      <c r="B24" s="27" t="s">
        <v>166</v>
      </c>
      <c r="C24" s="3" t="s">
        <v>16</v>
      </c>
      <c r="D24" s="10" t="s">
        <v>34</v>
      </c>
      <c r="E24" s="3" t="s">
        <v>43</v>
      </c>
      <c r="F24" s="3" t="s">
        <v>43</v>
      </c>
      <c r="G24" s="3" t="s">
        <v>32</v>
      </c>
      <c r="H24" s="3" t="s">
        <v>8</v>
      </c>
      <c r="I24" s="15">
        <v>43966</v>
      </c>
      <c r="J24" s="29">
        <f>MONTH(Tabela5[[#This Row],[When - Data de início]])</f>
        <v>5</v>
      </c>
      <c r="K24" s="10">
        <f t="shared" si="0"/>
        <v>17</v>
      </c>
      <c r="L24" s="15">
        <v>43983</v>
      </c>
      <c r="M24" s="15">
        <v>43862</v>
      </c>
      <c r="N24" s="10">
        <f t="shared" si="1"/>
        <v>121</v>
      </c>
      <c r="O24" s="3" t="s">
        <v>172</v>
      </c>
      <c r="P24" s="3" t="s">
        <v>173</v>
      </c>
      <c r="Q24" s="18">
        <v>133.5</v>
      </c>
      <c r="R24" s="18">
        <v>141.5</v>
      </c>
      <c r="S24" s="18">
        <f t="shared" si="2"/>
        <v>-8</v>
      </c>
      <c r="T24" s="3" t="s">
        <v>37</v>
      </c>
    </row>
    <row r="25" spans="1:20" x14ac:dyDescent="0.2">
      <c r="A25" s="27">
        <v>17</v>
      </c>
      <c r="B25" s="27" t="s">
        <v>155</v>
      </c>
      <c r="C25" s="3" t="s">
        <v>15</v>
      </c>
      <c r="D25" s="10" t="s">
        <v>33</v>
      </c>
      <c r="E25" s="3" t="s">
        <v>41</v>
      </c>
      <c r="F25" s="3" t="s">
        <v>42</v>
      </c>
      <c r="G25" s="3" t="s">
        <v>11</v>
      </c>
      <c r="H25" s="3" t="s">
        <v>5</v>
      </c>
      <c r="I25" s="15">
        <v>43975</v>
      </c>
      <c r="J25" s="29">
        <f>MONTH(Tabela5[[#This Row],[When - Data de início]])</f>
        <v>5</v>
      </c>
      <c r="K25" s="10">
        <f t="shared" si="0"/>
        <v>18</v>
      </c>
      <c r="L25" s="15">
        <v>43993</v>
      </c>
      <c r="M25" s="15">
        <v>43833</v>
      </c>
      <c r="N25" s="10">
        <f t="shared" si="1"/>
        <v>160</v>
      </c>
      <c r="O25" s="3" t="s">
        <v>43</v>
      </c>
      <c r="P25" s="3" t="s">
        <v>44</v>
      </c>
      <c r="Q25" s="18">
        <v>142</v>
      </c>
      <c r="R25" s="18">
        <v>150.5</v>
      </c>
      <c r="S25" s="18">
        <f t="shared" si="2"/>
        <v>-8.5</v>
      </c>
      <c r="T25" s="3" t="s">
        <v>37</v>
      </c>
    </row>
    <row r="26" spans="1:20" x14ac:dyDescent="0.2">
      <c r="A26" s="27">
        <v>18</v>
      </c>
      <c r="B26" s="27" t="s">
        <v>150</v>
      </c>
      <c r="C26" s="3" t="s">
        <v>16</v>
      </c>
      <c r="D26" s="10" t="s">
        <v>35</v>
      </c>
      <c r="E26" s="3" t="s">
        <v>161</v>
      </c>
      <c r="F26" s="3" t="s">
        <v>162</v>
      </c>
      <c r="G26" s="3" t="s">
        <v>13</v>
      </c>
      <c r="H26" s="3" t="s">
        <v>4</v>
      </c>
      <c r="I26" s="15">
        <v>43984</v>
      </c>
      <c r="J26" s="29">
        <f>MONTH(Tabela5[[#This Row],[When - Data de início]])</f>
        <v>6</v>
      </c>
      <c r="K26" s="10">
        <f t="shared" si="0"/>
        <v>19</v>
      </c>
      <c r="L26" s="15">
        <v>44003</v>
      </c>
      <c r="M26" s="15">
        <v>43844</v>
      </c>
      <c r="N26" s="10">
        <f t="shared" si="1"/>
        <v>159</v>
      </c>
      <c r="O26" s="3" t="s">
        <v>163</v>
      </c>
      <c r="P26" s="3" t="s">
        <v>43</v>
      </c>
      <c r="Q26" s="18">
        <v>150.5</v>
      </c>
      <c r="R26" s="18">
        <v>159.5</v>
      </c>
      <c r="S26" s="18">
        <f t="shared" si="2"/>
        <v>-9</v>
      </c>
      <c r="T26" s="3" t="s">
        <v>36</v>
      </c>
    </row>
    <row r="27" spans="1:20" x14ac:dyDescent="0.2">
      <c r="A27" s="27">
        <v>19</v>
      </c>
      <c r="B27" s="27" t="s">
        <v>164</v>
      </c>
      <c r="C27" s="3" t="s">
        <v>17</v>
      </c>
      <c r="D27" s="10" t="s">
        <v>33</v>
      </c>
      <c r="E27" s="3" t="s">
        <v>169</v>
      </c>
      <c r="F27" s="3" t="s">
        <v>170</v>
      </c>
      <c r="G27" s="3" t="s">
        <v>9</v>
      </c>
      <c r="H27" s="3" t="s">
        <v>7</v>
      </c>
      <c r="I27" s="15">
        <v>43993</v>
      </c>
      <c r="J27" s="29">
        <f>MONTH(Tabela5[[#This Row],[When - Data de início]])</f>
        <v>6</v>
      </c>
      <c r="K27" s="10">
        <f t="shared" si="0"/>
        <v>20</v>
      </c>
      <c r="L27" s="15">
        <v>44013</v>
      </c>
      <c r="M27" s="15">
        <v>43853</v>
      </c>
      <c r="N27" s="10">
        <f t="shared" si="1"/>
        <v>160</v>
      </c>
      <c r="O27" s="3" t="s">
        <v>171</v>
      </c>
      <c r="P27" s="3" t="s">
        <v>43</v>
      </c>
      <c r="Q27" s="18">
        <v>159</v>
      </c>
      <c r="R27" s="18">
        <v>168.5</v>
      </c>
      <c r="S27" s="18">
        <f t="shared" si="2"/>
        <v>-9.5</v>
      </c>
      <c r="T27" s="3" t="s">
        <v>38</v>
      </c>
    </row>
    <row r="28" spans="1:20" x14ac:dyDescent="0.2">
      <c r="A28" s="27">
        <v>20</v>
      </c>
      <c r="B28" s="27" t="s">
        <v>166</v>
      </c>
      <c r="C28" s="3" t="s">
        <v>16</v>
      </c>
      <c r="D28" s="10" t="s">
        <v>34</v>
      </c>
      <c r="E28" s="3" t="s">
        <v>43</v>
      </c>
      <c r="F28" s="3" t="s">
        <v>43</v>
      </c>
      <c r="G28" s="3" t="s">
        <v>32</v>
      </c>
      <c r="H28" s="3" t="s">
        <v>8</v>
      </c>
      <c r="I28" s="15">
        <v>44002</v>
      </c>
      <c r="J28" s="29">
        <f>MONTH(Tabela5[[#This Row],[When - Data de início]])</f>
        <v>6</v>
      </c>
      <c r="K28" s="10">
        <f t="shared" si="0"/>
        <v>21</v>
      </c>
      <c r="L28" s="15">
        <v>44023</v>
      </c>
      <c r="M28" s="15">
        <v>43862</v>
      </c>
      <c r="N28" s="10">
        <f t="shared" si="1"/>
        <v>161</v>
      </c>
      <c r="O28" s="3" t="s">
        <v>172</v>
      </c>
      <c r="P28" s="3" t="s">
        <v>173</v>
      </c>
      <c r="Q28" s="18">
        <v>167.5</v>
      </c>
      <c r="R28" s="18">
        <v>177.5</v>
      </c>
      <c r="S28" s="18">
        <f t="shared" si="2"/>
        <v>-10</v>
      </c>
      <c r="T28" s="3" t="s">
        <v>37</v>
      </c>
    </row>
    <row r="29" spans="1:20" x14ac:dyDescent="0.2">
      <c r="A29" s="27">
        <v>21</v>
      </c>
      <c r="B29" s="27" t="s">
        <v>155</v>
      </c>
      <c r="C29" s="3" t="s">
        <v>15</v>
      </c>
      <c r="D29" s="10" t="s">
        <v>33</v>
      </c>
      <c r="E29" s="3" t="s">
        <v>41</v>
      </c>
      <c r="F29" s="3" t="s">
        <v>42</v>
      </c>
      <c r="G29" s="3" t="s">
        <v>11</v>
      </c>
      <c r="H29" s="3" t="s">
        <v>5</v>
      </c>
      <c r="I29" s="15">
        <v>44011</v>
      </c>
      <c r="J29" s="29">
        <f>MONTH(Tabela5[[#This Row],[When - Data de início]])</f>
        <v>6</v>
      </c>
      <c r="K29" s="10">
        <f t="shared" si="0"/>
        <v>22</v>
      </c>
      <c r="L29" s="15">
        <v>44033</v>
      </c>
      <c r="M29" s="15">
        <v>43833</v>
      </c>
      <c r="N29" s="10">
        <f t="shared" si="1"/>
        <v>200</v>
      </c>
      <c r="O29" s="3" t="s">
        <v>43</v>
      </c>
      <c r="P29" s="3" t="s">
        <v>44</v>
      </c>
      <c r="Q29" s="18">
        <v>176</v>
      </c>
      <c r="R29" s="18">
        <v>186.5</v>
      </c>
      <c r="S29" s="18">
        <f t="shared" si="2"/>
        <v>-10.5</v>
      </c>
      <c r="T29" s="3" t="s">
        <v>37</v>
      </c>
    </row>
    <row r="30" spans="1:20" x14ac:dyDescent="0.2">
      <c r="A30" s="27">
        <v>22</v>
      </c>
      <c r="B30" s="27" t="s">
        <v>150</v>
      </c>
      <c r="C30" s="3" t="s">
        <v>16</v>
      </c>
      <c r="D30" s="10" t="s">
        <v>35</v>
      </c>
      <c r="E30" s="3" t="s">
        <v>161</v>
      </c>
      <c r="F30" s="3" t="s">
        <v>162</v>
      </c>
      <c r="G30" s="3" t="s">
        <v>13</v>
      </c>
      <c r="H30" s="3" t="s">
        <v>4</v>
      </c>
      <c r="I30" s="15">
        <v>44020</v>
      </c>
      <c r="J30" s="29">
        <f>MONTH(Tabela5[[#This Row],[When - Data de início]])</f>
        <v>7</v>
      </c>
      <c r="K30" s="10">
        <f t="shared" si="0"/>
        <v>23</v>
      </c>
      <c r="L30" s="15">
        <v>44043</v>
      </c>
      <c r="M30" s="15">
        <v>43844</v>
      </c>
      <c r="N30" s="10">
        <f t="shared" si="1"/>
        <v>199</v>
      </c>
      <c r="O30" s="3" t="s">
        <v>163</v>
      </c>
      <c r="P30" s="3" t="s">
        <v>43</v>
      </c>
      <c r="Q30" s="18">
        <v>184.5</v>
      </c>
      <c r="R30" s="18">
        <v>195.5</v>
      </c>
      <c r="S30" s="18">
        <f t="shared" si="2"/>
        <v>-11</v>
      </c>
      <c r="T30" s="3" t="s">
        <v>36</v>
      </c>
    </row>
  </sheetData>
  <conditionalFormatting sqref="D9:D30">
    <cfRule type="cellIs" dxfId="129" priority="4" operator="equal">
      <formula>"Média"</formula>
    </cfRule>
    <cfRule type="cellIs" dxfId="128" priority="5" operator="equal">
      <formula>"Baixa"</formula>
    </cfRule>
    <cfRule type="cellIs" dxfId="127" priority="6" operator="equal">
      <formula>"Alta"</formula>
    </cfRule>
  </conditionalFormatting>
  <conditionalFormatting sqref="T9:T30">
    <cfRule type="cellIs" dxfId="126" priority="1" operator="equal">
      <formula>"Pendente"</formula>
    </cfRule>
    <cfRule type="cellIs" dxfId="125" priority="2" operator="equal">
      <formula>"Em andamento"</formula>
    </cfRule>
    <cfRule type="cellIs" dxfId="124" priority="3" operator="equal">
      <formula>"Realizada"</formula>
    </cfRule>
  </conditionalFormatting>
  <conditionalFormatting sqref="S9:S30">
    <cfRule type="iconSet" priority="17">
      <iconSet iconSet="3Arrows">
        <cfvo type="percent" val="0"/>
        <cfvo type="num" val="0"/>
        <cfvo type="num" val="0" gte="0"/>
      </iconSet>
    </cfRule>
  </conditionalFormatting>
  <dataValidations count="6">
    <dataValidation type="list" allowBlank="1" showInputMessage="1" showErrorMessage="1" sqref="C9:C30" xr:uid="{D315FC4E-D8DF-4452-ADF8-CE46D8620546}">
      <formula1>Atv</formula1>
    </dataValidation>
    <dataValidation type="list" allowBlank="1" showInputMessage="1" showErrorMessage="1" sqref="G9:G30" xr:uid="{475EFA71-B5EF-49AA-81C3-01E632438AAC}">
      <formula1>Membr</formula1>
    </dataValidation>
    <dataValidation type="list" allowBlank="1" showInputMessage="1" showErrorMessage="1" sqref="D9:D30" xr:uid="{82BE7444-93E9-46D6-AE07-F7E1A0524A19}">
      <formula1>"Alta,Média,Baixa"</formula1>
    </dataValidation>
    <dataValidation type="list" allowBlank="1" showInputMessage="1" showErrorMessage="1" sqref="T9:T30" xr:uid="{52FC1E79-3ABD-4AF5-8B03-AB6935C473A9}">
      <formula1>"Realizada,Em andamento,Pendente"</formula1>
    </dataValidation>
    <dataValidation type="list" allowBlank="1" showInputMessage="1" showErrorMessage="1" sqref="H9:H30" xr:uid="{B9F4B9D5-75F5-428C-AAD0-5A15AE7B68C4}">
      <formula1>Comissoes</formula1>
    </dataValidation>
    <dataValidation type="list" allowBlank="1" showInputMessage="1" showErrorMessage="1" sqref="B9:B30" xr:uid="{4EC1BEA4-61AC-4C20-9CCA-4891370B3E1C}">
      <formula1>metas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" id="{D523FA01-3F08-43B4-8649-B0EC92481C80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N9:N30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58EC-EE93-4983-A54E-6EA8F1DCD245}">
  <sheetPr codeName="Planilha6">
    <tabColor rgb="FF002060"/>
  </sheetPr>
  <dimension ref="A1:A5"/>
  <sheetViews>
    <sheetView showGridLines="0" showRowColHeaders="0" workbookViewId="0"/>
  </sheetViews>
  <sheetFormatPr defaultRowHeight="15" x14ac:dyDescent="0.25"/>
  <sheetData>
    <row r="1" s="1" customFormat="1" x14ac:dyDescent="0.25"/>
    <row r="2" s="1" customFormat="1" x14ac:dyDescent="0.25"/>
    <row r="3" s="1" customFormat="1" x14ac:dyDescent="0.25"/>
    <row r="4" s="2" customFormat="1" x14ac:dyDescent="0.25"/>
    <row r="5" s="2" customForma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664EB-6190-4429-9310-EAB48807AD98}">
  <sheetPr codeName="Planilha7">
    <tabColor rgb="FF002060"/>
  </sheetPr>
  <dimension ref="A1:M40"/>
  <sheetViews>
    <sheetView showGridLines="0" showRowColHeaders="0" workbookViewId="0">
      <pane ySplit="8" topLeftCell="A9" activePane="bottomLeft" state="frozen"/>
      <selection pane="bottomLeft" activeCell="H12" sqref="H12:J12"/>
    </sheetView>
  </sheetViews>
  <sheetFormatPr defaultColWidth="0" defaultRowHeight="15" zeroHeight="1" x14ac:dyDescent="0.2"/>
  <cols>
    <col min="1" max="1" width="9.140625" style="3" customWidth="1"/>
    <col min="2" max="2" width="22.85546875" style="3" customWidth="1"/>
    <col min="3" max="3" width="26.7109375" style="10" customWidth="1"/>
    <col min="4" max="4" width="22.28515625" style="3" customWidth="1"/>
    <col min="5" max="5" width="20.140625" style="10" customWidth="1"/>
    <col min="6" max="6" width="5.140625" style="3" customWidth="1"/>
    <col min="7" max="7" width="0.5703125" style="3" customWidth="1"/>
    <col min="8" max="10" width="9.140625" style="3" customWidth="1"/>
    <col min="11" max="11" width="41.42578125" style="3" customWidth="1"/>
    <col min="12" max="12" width="32.28515625" style="3" customWidth="1"/>
    <col min="13" max="13" width="0.140625" style="3" customWidth="1"/>
    <col min="14" max="16384" width="9.140625" style="3" hidden="1"/>
  </cols>
  <sheetData>
    <row r="1" spans="2:10" s="1" customFormat="1" x14ac:dyDescent="0.25"/>
    <row r="2" spans="2:10" s="1" customFormat="1" x14ac:dyDescent="0.25"/>
    <row r="3" spans="2:10" s="1" customFormat="1" x14ac:dyDescent="0.25"/>
    <row r="4" spans="2:10" s="2" customFormat="1" x14ac:dyDescent="0.25"/>
    <row r="5" spans="2:10" s="2" customFormat="1" x14ac:dyDescent="0.25"/>
    <row r="6" spans="2:10" x14ac:dyDescent="0.2"/>
    <row r="7" spans="2:10" x14ac:dyDescent="0.2"/>
    <row r="8" spans="2:10" s="4" customFormat="1" ht="16.5" customHeight="1" x14ac:dyDescent="0.2">
      <c r="B8" s="6" t="s">
        <v>14</v>
      </c>
      <c r="C8" s="6" t="s">
        <v>45</v>
      </c>
      <c r="D8" s="6" t="s">
        <v>46</v>
      </c>
      <c r="E8" s="6" t="s">
        <v>47</v>
      </c>
    </row>
    <row r="9" spans="2:10" x14ac:dyDescent="0.2">
      <c r="B9" s="3" t="s">
        <v>16</v>
      </c>
      <c r="C9" s="10">
        <f>COUNTIF(Tabela5[Atividade],Acompanhamento!B9)</f>
        <v>11</v>
      </c>
      <c r="D9" s="10">
        <f>COUNTIFS(Tabela5[Atividade],Acompanhamento!B9,Tabela5[Status],"Realizada")</f>
        <v>5</v>
      </c>
      <c r="E9" s="28">
        <f>D9/C9</f>
        <v>0.45454545454545453</v>
      </c>
    </row>
    <row r="10" spans="2:10" ht="15.75" thickBot="1" x14ac:dyDescent="0.25">
      <c r="B10" s="3" t="s">
        <v>15</v>
      </c>
      <c r="C10" s="10">
        <f>COUNTIF(Tabela5[Atividade],Acompanhamento!B10)</f>
        <v>6</v>
      </c>
      <c r="D10" s="10">
        <f>COUNTIFS(Tabela5[Atividade],Acompanhamento!B10,Tabela5[Status],"Realizada")</f>
        <v>6</v>
      </c>
      <c r="E10" s="28">
        <f>D10/C10</f>
        <v>1</v>
      </c>
      <c r="I10" s="10"/>
    </row>
    <row r="11" spans="2:10" ht="15.75" thickBot="1" x14ac:dyDescent="0.25">
      <c r="B11" s="3" t="s">
        <v>17</v>
      </c>
      <c r="C11" s="10">
        <f>COUNTIF(Tabela5[Atividade],Acompanhamento!B11)</f>
        <v>5</v>
      </c>
      <c r="D11" s="10">
        <f>COUNTIFS(Tabela5[Atividade],Acompanhamento!B11,Tabela5[Status],"Realizada")</f>
        <v>0</v>
      </c>
      <c r="E11" s="28">
        <f>D11/C11</f>
        <v>0</v>
      </c>
      <c r="H11" s="142" t="s">
        <v>128</v>
      </c>
      <c r="I11" s="143"/>
      <c r="J11" s="144"/>
    </row>
    <row r="12" spans="2:10" ht="15.75" customHeight="1" thickBot="1" x14ac:dyDescent="0.25">
      <c r="H12" s="145" t="s">
        <v>17</v>
      </c>
      <c r="I12" s="146"/>
      <c r="J12" s="147"/>
    </row>
    <row r="13" spans="2:10" ht="14.25" customHeight="1" x14ac:dyDescent="0.2">
      <c r="B13" s="37"/>
      <c r="C13" s="37"/>
      <c r="D13" s="37"/>
    </row>
    <row r="14" spans="2:10" x14ac:dyDescent="0.2">
      <c r="C14" s="3"/>
      <c r="D14" s="78"/>
    </row>
    <row r="15" spans="2:10" x14ac:dyDescent="0.2">
      <c r="C15" s="3"/>
      <c r="D15" s="64"/>
    </row>
    <row r="16" spans="2:10" x14ac:dyDescent="0.2">
      <c r="C16" s="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</sheetData>
  <mergeCells count="2">
    <mergeCell ref="H11:J11"/>
    <mergeCell ref="H12:J12"/>
  </mergeCells>
  <conditionalFormatting sqref="E9:E11">
    <cfRule type="cellIs" dxfId="80" priority="1" operator="between">
      <formula>0.9</formula>
      <formula>1</formula>
    </cfRule>
    <cfRule type="cellIs" dxfId="79" priority="2" operator="between">
      <formula>0.5</formula>
      <formula>0.9</formula>
    </cfRule>
    <cfRule type="cellIs" dxfId="78" priority="3" operator="between">
      <formula>0</formula>
      <formula>0.4999</formula>
    </cfRule>
  </conditionalFormatting>
  <dataValidations count="1">
    <dataValidation type="list" allowBlank="1" showInputMessage="1" showErrorMessage="1" sqref="B9:B11 H12" xr:uid="{C488F080-ED4F-4FAA-9BF1-CE7C7E140221}">
      <formula1>Atv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89443-710F-4189-BA52-A29EEB844FE0}">
  <sheetPr codeName="Planilha8">
    <tabColor rgb="FF002060"/>
  </sheetPr>
  <dimension ref="A1:Q27"/>
  <sheetViews>
    <sheetView showGridLines="0" showRowColHeaders="0" workbookViewId="0">
      <pane ySplit="5" topLeftCell="A6" activePane="bottomLeft" state="frozen"/>
      <selection pane="bottomLeft"/>
    </sheetView>
  </sheetViews>
  <sheetFormatPr defaultColWidth="0" defaultRowHeight="15" zeroHeight="1" x14ac:dyDescent="0.2"/>
  <cols>
    <col min="1" max="1" width="9.140625" style="3" customWidth="1"/>
    <col min="2" max="2" width="22.7109375" style="3" bestFit="1" customWidth="1"/>
    <col min="3" max="3" width="11.140625" style="3" customWidth="1"/>
    <col min="4" max="4" width="12.28515625" style="3" customWidth="1"/>
    <col min="5" max="10" width="9.140625" style="3" customWidth="1"/>
    <col min="11" max="11" width="9.7109375" style="3" bestFit="1" customWidth="1"/>
    <col min="12" max="12" width="9.5703125" style="3" customWidth="1"/>
    <col min="13" max="13" width="9.5703125" style="3" bestFit="1" customWidth="1"/>
    <col min="14" max="14" width="10" style="3" customWidth="1"/>
    <col min="15" max="15" width="39.28515625" style="3" customWidth="1"/>
    <col min="16" max="16" width="30.140625" style="3" customWidth="1"/>
    <col min="17" max="17" width="9.140625" style="3" customWidth="1"/>
    <col min="18" max="16384" width="9.140625" style="3" hidden="1"/>
  </cols>
  <sheetData>
    <row r="1" spans="2:14" s="1" customFormat="1" x14ac:dyDescent="0.25"/>
    <row r="2" spans="2:14" s="1" customFormat="1" x14ac:dyDescent="0.25"/>
    <row r="3" spans="2:14" s="1" customFormat="1" x14ac:dyDescent="0.25"/>
    <row r="4" spans="2:14" s="2" customFormat="1" x14ac:dyDescent="0.25"/>
    <row r="5" spans="2:14" s="2" customFormat="1" x14ac:dyDescent="0.25"/>
    <row r="6" spans="2:14" x14ac:dyDescent="0.2"/>
    <row r="7" spans="2:14" x14ac:dyDescent="0.2"/>
    <row r="8" spans="2:14" x14ac:dyDescent="0.2">
      <c r="B8" s="35"/>
      <c r="C8" s="34" t="s">
        <v>51</v>
      </c>
      <c r="D8" s="34" t="s">
        <v>52</v>
      </c>
      <c r="E8" s="34" t="s">
        <v>53</v>
      </c>
      <c r="F8" s="34" t="s">
        <v>54</v>
      </c>
      <c r="G8" s="34" t="s">
        <v>55</v>
      </c>
      <c r="H8" s="34" t="s">
        <v>56</v>
      </c>
      <c r="I8" s="34" t="s">
        <v>57</v>
      </c>
      <c r="J8" s="34" t="s">
        <v>58</v>
      </c>
      <c r="K8" s="34" t="s">
        <v>59</v>
      </c>
      <c r="L8" s="34" t="s">
        <v>60</v>
      </c>
      <c r="M8" s="34" t="s">
        <v>61</v>
      </c>
      <c r="N8" s="34" t="s">
        <v>62</v>
      </c>
    </row>
    <row r="9" spans="2:14" x14ac:dyDescent="0.2">
      <c r="B9" s="31" t="s">
        <v>49</v>
      </c>
      <c r="C9" s="32">
        <f>COUNTIF(Tabela5[Mês],1)</f>
        <v>4</v>
      </c>
      <c r="D9" s="32">
        <f>COUNTIF(Tabela5[Mês],2)</f>
        <v>3</v>
      </c>
      <c r="E9" s="32">
        <f>COUNTIF(Tabela5[Mês],3)</f>
        <v>4</v>
      </c>
      <c r="F9" s="32">
        <f>COUNTIF(Tabela5[Mês],4)</f>
        <v>3</v>
      </c>
      <c r="G9" s="32">
        <f>COUNTIF(Tabela5[Mês],5)</f>
        <v>3</v>
      </c>
      <c r="H9" s="32">
        <f>COUNTIF(Tabela5[Mês],6)</f>
        <v>4</v>
      </c>
      <c r="I9" s="32">
        <f>COUNTIF(Tabela5[Mês],7)</f>
        <v>1</v>
      </c>
      <c r="J9" s="32">
        <f>COUNTIF(Tabela5[Mês],8)</f>
        <v>0</v>
      </c>
      <c r="K9" s="32">
        <f>COUNTIF(Tabela5[Mês],9)</f>
        <v>0</v>
      </c>
      <c r="L9" s="32">
        <f>COUNTIF(Tabela5[Mês],10)</f>
        <v>0</v>
      </c>
      <c r="M9" s="32">
        <f>COUNTIF(Tabela5[Mês],11)</f>
        <v>0</v>
      </c>
      <c r="N9" s="32">
        <f>COUNTIF(Tabela5[Mês],12)</f>
        <v>0</v>
      </c>
    </row>
    <row r="10" spans="2:14" x14ac:dyDescent="0.2">
      <c r="B10" s="31" t="s">
        <v>50</v>
      </c>
      <c r="C10" s="32">
        <f>COUNTIFS(Tabela5[Mês],1,Tabela5[Status],"Realizada")</f>
        <v>2</v>
      </c>
      <c r="D10" s="32">
        <f>COUNTIFS(Tabela5[Mês],2,Tabela5[Status],"Realizada")</f>
        <v>1</v>
      </c>
      <c r="E10" s="32">
        <f>COUNTIFS(Tabela5[Mês],3,Tabela5[Status],"Realizada")</f>
        <v>2</v>
      </c>
      <c r="F10" s="32">
        <f>COUNTIFS(Tabela5[Mês],4,Tabela5[Status],"Realizada")</f>
        <v>2</v>
      </c>
      <c r="G10" s="32">
        <f>COUNTIFS(Tabela5[Mês],5,Tabela5[Status],"Realizada")</f>
        <v>2</v>
      </c>
      <c r="H10" s="32">
        <f>COUNTIFS(Tabela5[Mês],6,Tabela5[Status],"Realizada")</f>
        <v>2</v>
      </c>
      <c r="I10" s="32">
        <f>COUNTIFS(Tabela5[Mês],7,Tabela5[Status],"Realizada")</f>
        <v>0</v>
      </c>
      <c r="J10" s="32">
        <f>COUNTIFS(Tabela5[Mês],8,Tabela5[Status],"Realizada")</f>
        <v>0</v>
      </c>
      <c r="K10" s="32">
        <f>COUNTIFS(Tabela5[Mês],9,Tabela5[Status],"Realizada")</f>
        <v>0</v>
      </c>
      <c r="L10" s="32">
        <f>COUNTIFS(Tabela5[Mês],10,Tabela5[Status],"Realizada")</f>
        <v>0</v>
      </c>
      <c r="M10" s="32">
        <f>COUNTIFS(Tabela5[Mês],11,Tabela5[Status],"Realizada")</f>
        <v>0</v>
      </c>
      <c r="N10" s="32">
        <f>COUNTIFS(Tabela5[Mês],12,Tabela5[Status],"Realizada")</f>
        <v>0</v>
      </c>
    </row>
    <row r="11" spans="2:14" x14ac:dyDescent="0.2">
      <c r="B11" s="31" t="s">
        <v>63</v>
      </c>
      <c r="C11" s="33">
        <f>C10/C9</f>
        <v>0.5</v>
      </c>
      <c r="D11" s="33">
        <f t="shared" ref="D11:N11" si="0">D10/D9</f>
        <v>0.33333333333333331</v>
      </c>
      <c r="E11" s="33">
        <f t="shared" si="0"/>
        <v>0.5</v>
      </c>
      <c r="F11" s="33">
        <f t="shared" si="0"/>
        <v>0.66666666666666663</v>
      </c>
      <c r="G11" s="33">
        <f t="shared" si="0"/>
        <v>0.66666666666666663</v>
      </c>
      <c r="H11" s="33">
        <f t="shared" si="0"/>
        <v>0.5</v>
      </c>
      <c r="I11" s="33">
        <f t="shared" si="0"/>
        <v>0</v>
      </c>
      <c r="J11" s="33" t="e">
        <f t="shared" si="0"/>
        <v>#DIV/0!</v>
      </c>
      <c r="K11" s="33" t="e">
        <f t="shared" si="0"/>
        <v>#DIV/0!</v>
      </c>
      <c r="L11" s="33" t="e">
        <f t="shared" si="0"/>
        <v>#DIV/0!</v>
      </c>
      <c r="M11" s="33" t="e">
        <f t="shared" si="0"/>
        <v>#DIV/0!</v>
      </c>
      <c r="N11" s="33" t="e">
        <f t="shared" si="0"/>
        <v>#DIV/0!</v>
      </c>
    </row>
    <row r="12" spans="2:14" x14ac:dyDescent="0.2"/>
    <row r="13" spans="2:14" x14ac:dyDescent="0.2"/>
    <row r="14" spans="2:14" x14ac:dyDescent="0.2"/>
    <row r="15" spans="2:14" x14ac:dyDescent="0.2"/>
    <row r="16" spans="2:14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</sheetData>
  <phoneticPr fontId="8" type="noConversion"/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C7F6A-CFC3-4D44-B883-66B811684CC7}">
  <sheetPr codeName="Planilha9">
    <tabColor rgb="FF002060"/>
  </sheetPr>
  <dimension ref="A1:R100"/>
  <sheetViews>
    <sheetView showGridLines="0" showRowColHeaders="0" workbookViewId="0">
      <selection activeCell="F10" sqref="F10"/>
    </sheetView>
  </sheetViews>
  <sheetFormatPr defaultColWidth="0" defaultRowHeight="15.75" zeroHeight="1" x14ac:dyDescent="0.25"/>
  <cols>
    <col min="1" max="1" width="2" customWidth="1"/>
    <col min="2" max="2" width="24.140625" style="36" customWidth="1"/>
    <col min="3" max="3" width="2.140625" style="36" customWidth="1"/>
    <col min="4" max="4" width="32" customWidth="1"/>
    <col min="5" max="5" width="2.42578125" customWidth="1"/>
    <col min="6" max="6" width="32.42578125" customWidth="1"/>
    <col min="7" max="7" width="12.28515625" bestFit="1" customWidth="1"/>
    <col min="8" max="8" width="21.85546875" bestFit="1" customWidth="1"/>
    <col min="9" max="9" width="19" bestFit="1" customWidth="1"/>
    <col min="10" max="10" width="12.28515625" bestFit="1" customWidth="1"/>
    <col min="11" max="11" width="12.85546875" bestFit="1" customWidth="1"/>
    <col min="12" max="12" width="14.42578125" bestFit="1" customWidth="1"/>
    <col min="13" max="18" width="9.140625" customWidth="1"/>
    <col min="19" max="16384" width="9.140625" hidden="1"/>
  </cols>
  <sheetData>
    <row r="1" spans="2:12" s="1" customFormat="1" x14ac:dyDescent="0.25">
      <c r="B1" s="79"/>
      <c r="C1" s="79"/>
    </row>
    <row r="2" spans="2:12" s="1" customFormat="1" x14ac:dyDescent="0.25">
      <c r="B2" s="79"/>
      <c r="C2" s="79"/>
    </row>
    <row r="3" spans="2:12" s="1" customFormat="1" x14ac:dyDescent="0.25">
      <c r="B3" s="79"/>
      <c r="C3" s="79"/>
    </row>
    <row r="4" spans="2:12" s="2" customFormat="1" x14ac:dyDescent="0.25">
      <c r="B4" s="68"/>
      <c r="C4" s="68"/>
    </row>
    <row r="5" spans="2:12" s="2" customFormat="1" x14ac:dyDescent="0.25">
      <c r="B5" s="68"/>
      <c r="C5" s="68"/>
    </row>
    <row r="6" spans="2:12" x14ac:dyDescent="0.25">
      <c r="B6" s="61"/>
      <c r="C6" s="61"/>
    </row>
    <row r="7" spans="2:12" x14ac:dyDescent="0.25">
      <c r="B7" s="61"/>
      <c r="C7" s="61"/>
    </row>
    <row r="8" spans="2:12" ht="16.5" customHeight="1" x14ac:dyDescent="0.25">
      <c r="B8" s="60" t="s">
        <v>14</v>
      </c>
      <c r="C8" s="39"/>
      <c r="D8" s="60" t="s">
        <v>68</v>
      </c>
      <c r="E8" s="37"/>
      <c r="F8" s="60" t="s">
        <v>1</v>
      </c>
      <c r="G8" s="78"/>
      <c r="H8" s="78"/>
    </row>
    <row r="9" spans="2:12" ht="16.5" customHeight="1" x14ac:dyDescent="0.25">
      <c r="B9" s="64" t="s">
        <v>17</v>
      </c>
      <c r="C9" s="37"/>
      <c r="D9" s="37" t="s">
        <v>12</v>
      </c>
      <c r="E9" s="37"/>
      <c r="F9" s="37" t="s">
        <v>8</v>
      </c>
      <c r="G9" s="64"/>
      <c r="H9" s="64"/>
    </row>
    <row r="10" spans="2:12" ht="16.5" customHeight="1" x14ac:dyDescent="0.25">
      <c r="B10" s="61"/>
      <c r="C10" s="61"/>
    </row>
    <row r="11" spans="2:12" x14ac:dyDescent="0.25">
      <c r="C11" s="61"/>
      <c r="H11" s="155" t="s">
        <v>14</v>
      </c>
      <c r="I11" s="149" t="s">
        <v>67</v>
      </c>
    </row>
    <row r="12" spans="2:12" ht="16.5" customHeight="1" x14ac:dyDescent="0.25">
      <c r="C12" s="61"/>
      <c r="H12" s="36"/>
      <c r="I12" s="36"/>
    </row>
    <row r="13" spans="2:12" x14ac:dyDescent="0.25">
      <c r="B13" s="61"/>
      <c r="C13" s="61"/>
      <c r="H13" s="152" t="s">
        <v>65</v>
      </c>
      <c r="I13" s="151" t="s">
        <v>31</v>
      </c>
      <c r="J13" s="151"/>
      <c r="K13" s="151"/>
      <c r="L13" s="151"/>
    </row>
    <row r="14" spans="2:12" x14ac:dyDescent="0.25">
      <c r="B14" s="61"/>
      <c r="C14" s="61"/>
      <c r="H14" s="150" t="s">
        <v>66</v>
      </c>
      <c r="I14" s="151" t="s">
        <v>36</v>
      </c>
      <c r="J14" s="151" t="s">
        <v>38</v>
      </c>
      <c r="K14" s="151" t="s">
        <v>37</v>
      </c>
      <c r="L14" s="151" t="s">
        <v>64</v>
      </c>
    </row>
    <row r="15" spans="2:12" x14ac:dyDescent="0.25">
      <c r="B15" s="61"/>
      <c r="C15" s="61"/>
      <c r="H15" s="149" t="s">
        <v>9</v>
      </c>
      <c r="I15" s="154"/>
      <c r="J15" s="154">
        <v>5</v>
      </c>
      <c r="K15" s="154"/>
      <c r="L15" s="154">
        <v>5</v>
      </c>
    </row>
    <row r="16" spans="2:12" x14ac:dyDescent="0.25">
      <c r="B16" s="61"/>
      <c r="C16" s="61"/>
      <c r="H16" s="149" t="s">
        <v>11</v>
      </c>
      <c r="I16" s="154"/>
      <c r="J16" s="154"/>
      <c r="K16" s="154">
        <v>6</v>
      </c>
      <c r="L16" s="154">
        <v>6</v>
      </c>
    </row>
    <row r="17" spans="2:12" x14ac:dyDescent="0.25">
      <c r="B17" s="61"/>
      <c r="C17" s="61"/>
      <c r="H17" s="149" t="s">
        <v>13</v>
      </c>
      <c r="I17" s="154">
        <v>6</v>
      </c>
      <c r="J17" s="154"/>
      <c r="K17" s="154"/>
      <c r="L17" s="154">
        <v>6</v>
      </c>
    </row>
    <row r="18" spans="2:12" x14ac:dyDescent="0.25">
      <c r="B18" s="61"/>
      <c r="C18" s="61"/>
      <c r="H18" s="149" t="s">
        <v>32</v>
      </c>
      <c r="I18" s="154"/>
      <c r="J18" s="154"/>
      <c r="K18" s="154">
        <v>5</v>
      </c>
      <c r="L18" s="154">
        <v>5</v>
      </c>
    </row>
    <row r="19" spans="2:12" x14ac:dyDescent="0.25">
      <c r="B19" s="61"/>
      <c r="C19" s="61"/>
      <c r="H19" s="150" t="s">
        <v>64</v>
      </c>
      <c r="I19" s="153">
        <v>6</v>
      </c>
      <c r="J19" s="153">
        <v>5</v>
      </c>
      <c r="K19" s="153">
        <v>11</v>
      </c>
      <c r="L19" s="153">
        <v>22</v>
      </c>
    </row>
    <row r="20" spans="2:12" x14ac:dyDescent="0.25">
      <c r="B20" s="61"/>
      <c r="C20" s="61"/>
    </row>
    <row r="21" spans="2:12" ht="16.5" customHeight="1" x14ac:dyDescent="0.25">
      <c r="B21" s="61"/>
      <c r="C21" s="61"/>
    </row>
    <row r="22" spans="2:12" ht="16.5" customHeight="1" x14ac:dyDescent="0.25">
      <c r="B22" s="61"/>
      <c r="C22" s="61"/>
    </row>
    <row r="23" spans="2:12" ht="16.5" customHeight="1" x14ac:dyDescent="0.25">
      <c r="B23" s="61"/>
      <c r="C23" s="61"/>
    </row>
    <row r="24" spans="2:12" ht="16.5" customHeight="1" x14ac:dyDescent="0.25">
      <c r="B24" s="61"/>
      <c r="C24" s="61"/>
    </row>
    <row r="25" spans="2:12" ht="16.5" customHeight="1" x14ac:dyDescent="0.25">
      <c r="B25" s="61"/>
      <c r="C25" s="61"/>
    </row>
    <row r="26" spans="2:12" ht="16.5" customHeight="1" x14ac:dyDescent="0.25">
      <c r="B26" s="61"/>
      <c r="C26" s="61"/>
    </row>
    <row r="27" spans="2:12" ht="16.5" customHeight="1" x14ac:dyDescent="0.25">
      <c r="B27" s="61"/>
      <c r="C27" s="61"/>
    </row>
    <row r="28" spans="2:12" ht="16.5" customHeight="1" x14ac:dyDescent="0.25">
      <c r="B28" s="61"/>
      <c r="C28" s="61"/>
    </row>
    <row r="29" spans="2:12" ht="16.5" customHeight="1" x14ac:dyDescent="0.25">
      <c r="B29" s="61"/>
      <c r="C29" s="61"/>
    </row>
    <row r="30" spans="2:12" ht="16.5" customHeight="1" x14ac:dyDescent="0.25">
      <c r="B30" s="61"/>
      <c r="C30" s="61"/>
    </row>
    <row r="31" spans="2:12" ht="16.5" customHeight="1" x14ac:dyDescent="0.25">
      <c r="B31" s="61"/>
      <c r="C31" s="61"/>
    </row>
    <row r="32" spans="2:12" ht="16.5" customHeight="1" x14ac:dyDescent="0.25">
      <c r="B32" s="61"/>
      <c r="C32" s="61"/>
    </row>
    <row r="33" spans="2:3" ht="16.5" customHeight="1" x14ac:dyDescent="0.25">
      <c r="B33" s="61"/>
      <c r="C33" s="61"/>
    </row>
    <row r="34" spans="2:3" ht="16.5" customHeight="1" x14ac:dyDescent="0.25">
      <c r="B34" s="61"/>
      <c r="C34" s="61"/>
    </row>
    <row r="35" spans="2:3" ht="16.5" customHeight="1" x14ac:dyDescent="0.25">
      <c r="B35" s="61"/>
      <c r="C35" s="61"/>
    </row>
    <row r="36" spans="2:3" ht="16.5" customHeight="1" x14ac:dyDescent="0.25">
      <c r="B36" s="61"/>
      <c r="C36" s="61"/>
    </row>
    <row r="37" spans="2:3" ht="16.5" customHeight="1" x14ac:dyDescent="0.25">
      <c r="B37" s="61"/>
      <c r="C37" s="61"/>
    </row>
    <row r="38" spans="2:3" ht="16.5" customHeight="1" x14ac:dyDescent="0.25">
      <c r="B38" s="61"/>
      <c r="C38" s="61"/>
    </row>
    <row r="39" spans="2:3" ht="16.5" customHeight="1" x14ac:dyDescent="0.25">
      <c r="B39" s="61"/>
      <c r="C39" s="61"/>
    </row>
    <row r="40" spans="2:3" ht="16.5" customHeight="1" x14ac:dyDescent="0.25">
      <c r="B40" s="61"/>
      <c r="C40" s="61"/>
    </row>
    <row r="41" spans="2:3" ht="16.5" customHeight="1" x14ac:dyDescent="0.25">
      <c r="B41" s="61"/>
      <c r="C41" s="61"/>
    </row>
    <row r="42" spans="2:3" ht="16.5" customHeight="1" x14ac:dyDescent="0.25">
      <c r="B42" s="61"/>
      <c r="C42" s="61"/>
    </row>
    <row r="43" spans="2:3" ht="16.5" customHeight="1" x14ac:dyDescent="0.25">
      <c r="B43" s="61"/>
      <c r="C43" s="61"/>
    </row>
    <row r="44" spans="2:3" ht="16.5" customHeight="1" x14ac:dyDescent="0.25">
      <c r="B44" s="61"/>
      <c r="C44" s="61"/>
    </row>
    <row r="45" spans="2:3" ht="16.5" customHeight="1" x14ac:dyDescent="0.25">
      <c r="B45" s="61"/>
      <c r="C45" s="61"/>
    </row>
    <row r="46" spans="2:3" ht="16.5" customHeight="1" x14ac:dyDescent="0.25">
      <c r="B46" s="61"/>
      <c r="C46" s="61"/>
    </row>
    <row r="47" spans="2:3" ht="16.5" customHeight="1" x14ac:dyDescent="0.25">
      <c r="B47" s="61"/>
      <c r="C47" s="61"/>
    </row>
    <row r="48" spans="2:3" x14ac:dyDescent="0.25"/>
    <row r="49" spans="2:3" ht="15" x14ac:dyDescent="0.25">
      <c r="B49"/>
      <c r="C49"/>
    </row>
    <row r="50" spans="2:3" ht="15" x14ac:dyDescent="0.25">
      <c r="B50"/>
      <c r="C50"/>
    </row>
    <row r="51" spans="2:3" ht="15" x14ac:dyDescent="0.25">
      <c r="B51"/>
      <c r="C51"/>
    </row>
    <row r="52" spans="2:3" ht="15" x14ac:dyDescent="0.25">
      <c r="B52"/>
      <c r="C52"/>
    </row>
    <row r="53" spans="2:3" ht="15" x14ac:dyDescent="0.25">
      <c r="B53"/>
      <c r="C53"/>
    </row>
    <row r="54" spans="2:3" ht="15" x14ac:dyDescent="0.25">
      <c r="B54"/>
      <c r="C54"/>
    </row>
    <row r="55" spans="2:3" ht="15" x14ac:dyDescent="0.25">
      <c r="B55"/>
      <c r="C55"/>
    </row>
    <row r="56" spans="2:3" ht="15" x14ac:dyDescent="0.25">
      <c r="B56"/>
      <c r="C56"/>
    </row>
    <row r="57" spans="2:3" ht="15" x14ac:dyDescent="0.25">
      <c r="B57"/>
      <c r="C57"/>
    </row>
    <row r="58" spans="2:3" ht="15" x14ac:dyDescent="0.25">
      <c r="B58"/>
      <c r="C58"/>
    </row>
    <row r="59" spans="2:3" ht="15" x14ac:dyDescent="0.25">
      <c r="B59"/>
      <c r="C59"/>
    </row>
    <row r="60" spans="2:3" ht="15" x14ac:dyDescent="0.25">
      <c r="B60"/>
      <c r="C60"/>
    </row>
    <row r="61" spans="2:3" ht="15" x14ac:dyDescent="0.25">
      <c r="B61"/>
      <c r="C61"/>
    </row>
    <row r="62" spans="2:3" x14ac:dyDescent="0.25"/>
    <row r="63" spans="2:3" x14ac:dyDescent="0.25"/>
    <row r="64" spans="2:3" x14ac:dyDescent="0.25"/>
    <row r="65" spans="2:3" x14ac:dyDescent="0.25"/>
    <row r="66" spans="2:3" x14ac:dyDescent="0.25"/>
    <row r="67" spans="2:3" x14ac:dyDescent="0.25"/>
    <row r="68" spans="2:3" x14ac:dyDescent="0.25"/>
    <row r="69" spans="2:3" x14ac:dyDescent="0.25"/>
    <row r="70" spans="2:3" x14ac:dyDescent="0.25"/>
    <row r="71" spans="2:3" x14ac:dyDescent="0.25"/>
    <row r="72" spans="2:3" x14ac:dyDescent="0.25"/>
    <row r="73" spans="2:3" x14ac:dyDescent="0.25"/>
    <row r="74" spans="2:3" x14ac:dyDescent="0.25"/>
    <row r="75" spans="2:3" ht="15" x14ac:dyDescent="0.25">
      <c r="B75"/>
      <c r="C75"/>
    </row>
    <row r="76" spans="2:3" ht="15" x14ac:dyDescent="0.25">
      <c r="B76"/>
      <c r="C76"/>
    </row>
    <row r="77" spans="2:3" ht="15" x14ac:dyDescent="0.25">
      <c r="B77"/>
      <c r="C77"/>
    </row>
    <row r="78" spans="2:3" ht="15" x14ac:dyDescent="0.25">
      <c r="B78"/>
      <c r="C78"/>
    </row>
    <row r="79" spans="2:3" ht="15" x14ac:dyDescent="0.25">
      <c r="B79"/>
      <c r="C79"/>
    </row>
    <row r="80" spans="2:3" ht="15" x14ac:dyDescent="0.25">
      <c r="B80"/>
      <c r="C80"/>
    </row>
    <row r="81" spans="2:3" ht="15" x14ac:dyDescent="0.25">
      <c r="B81"/>
      <c r="C81"/>
    </row>
    <row r="82" spans="2:3" ht="15" x14ac:dyDescent="0.25">
      <c r="B82"/>
      <c r="C82"/>
    </row>
    <row r="83" spans="2:3" ht="15" x14ac:dyDescent="0.25">
      <c r="B83"/>
      <c r="C83"/>
    </row>
    <row r="84" spans="2:3" ht="15" x14ac:dyDescent="0.25">
      <c r="B84"/>
      <c r="C84"/>
    </row>
    <row r="85" spans="2:3" ht="15" x14ac:dyDescent="0.25">
      <c r="B85"/>
      <c r="C85"/>
    </row>
    <row r="86" spans="2:3" ht="15" x14ac:dyDescent="0.25">
      <c r="B86"/>
      <c r="C86"/>
    </row>
    <row r="87" spans="2:3" ht="15" x14ac:dyDescent="0.25">
      <c r="B87"/>
      <c r="C87"/>
    </row>
    <row r="88" spans="2:3" ht="15" x14ac:dyDescent="0.25">
      <c r="B88"/>
      <c r="C88"/>
    </row>
    <row r="89" spans="2:3" ht="15" x14ac:dyDescent="0.25">
      <c r="B89"/>
      <c r="C89"/>
    </row>
    <row r="90" spans="2:3" x14ac:dyDescent="0.25"/>
    <row r="91" spans="2:3" x14ac:dyDescent="0.25"/>
    <row r="92" spans="2:3" x14ac:dyDescent="0.25"/>
    <row r="93" spans="2:3" x14ac:dyDescent="0.25"/>
    <row r="94" spans="2:3" x14ac:dyDescent="0.25"/>
    <row r="95" spans="2:3" x14ac:dyDescent="0.25"/>
    <row r="96" spans="2:3" x14ac:dyDescent="0.25"/>
    <row r="97" x14ac:dyDescent="0.25"/>
    <row r="98" x14ac:dyDescent="0.25"/>
    <row r="99" x14ac:dyDescent="0.25"/>
    <row r="100" x14ac:dyDescent="0.25"/>
  </sheetData>
  <dataValidations count="3">
    <dataValidation type="list" allowBlank="1" showInputMessage="1" showErrorMessage="1" sqref="B9" xr:uid="{3584A7EB-BC4E-4C6F-B47B-7EC3E3664D1B}">
      <formula1>Atv</formula1>
    </dataValidation>
    <dataValidation type="list" allowBlank="1" showInputMessage="1" showErrorMessage="1" sqref="F9" xr:uid="{A8C206D5-13F5-4340-A3FE-1F95EC3D6DE7}">
      <formula1>Comissoes</formula1>
    </dataValidation>
    <dataValidation type="list" allowBlank="1" showInputMessage="1" showErrorMessage="1" sqref="C9 D9" xr:uid="{85B5E707-411D-4FDC-85CB-297CABE021A5}">
      <formula1>Membr</formula1>
    </dataValidation>
  </dataValidations>
  <pageMargins left="0.511811024" right="0.511811024" top="0.78740157499999996" bottom="0.78740157499999996" header="0.31496062000000002" footer="0.31496062000000002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72FC-EDB9-4EB4-AE61-DA8DA44F87E4}">
  <sheetPr codeName="Planilha10">
    <tabColor rgb="FF002060"/>
  </sheetPr>
  <dimension ref="A1:X31"/>
  <sheetViews>
    <sheetView showGridLines="0" showRowColHeaders="0" tabSelected="1" zoomScaleNormal="100" workbookViewId="0">
      <pane ySplit="5" topLeftCell="A6" activePane="bottomLeft" state="frozen"/>
      <selection pane="bottomLeft" activeCell="P30" sqref="P30"/>
    </sheetView>
  </sheetViews>
  <sheetFormatPr defaultColWidth="0" defaultRowHeight="15" x14ac:dyDescent="0.2"/>
  <cols>
    <col min="1" max="1" width="12.42578125" style="37" customWidth="1"/>
    <col min="2" max="2" width="11.28515625" style="37" customWidth="1"/>
    <col min="3" max="3" width="3.5703125" style="37" hidden="1" customWidth="1"/>
    <col min="4" max="4" width="29.85546875" style="37" customWidth="1"/>
    <col min="5" max="5" width="3.28515625" style="37" customWidth="1"/>
    <col min="6" max="6" width="31.140625" style="37" customWidth="1"/>
    <col min="7" max="7" width="3.28515625" style="37" customWidth="1"/>
    <col min="8" max="8" width="0.5703125" style="37" customWidth="1"/>
    <col min="9" max="9" width="18" style="37" bestFit="1" customWidth="1"/>
    <col min="10" max="11" width="12.140625" style="37" bestFit="1" customWidth="1"/>
    <col min="12" max="12" width="26.42578125" style="37" customWidth="1"/>
    <col min="13" max="13" width="1.140625" style="37" customWidth="1"/>
    <col min="14" max="14" width="9.140625" style="37" customWidth="1"/>
    <col min="15" max="15" width="4.5703125" style="37" customWidth="1"/>
    <col min="16" max="16" width="16.85546875" style="37" bestFit="1" customWidth="1"/>
    <col min="17" max="17" width="18.7109375" style="37" bestFit="1" customWidth="1"/>
    <col min="18" max="18" width="15" style="37" bestFit="1" customWidth="1"/>
    <col min="19" max="19" width="15.5703125" style="37" bestFit="1" customWidth="1"/>
    <col min="20" max="20" width="18.7109375" style="37" bestFit="1" customWidth="1"/>
    <col min="21" max="24" width="9.140625" style="37" customWidth="1"/>
    <col min="25" max="16384" width="9.140625" style="37" hidden="1"/>
  </cols>
  <sheetData>
    <row r="1" spans="4:14" s="1" customFormat="1" x14ac:dyDescent="0.25"/>
    <row r="2" spans="4:14" s="1" customFormat="1" x14ac:dyDescent="0.25"/>
    <row r="3" spans="4:14" s="1" customFormat="1" x14ac:dyDescent="0.25"/>
    <row r="4" spans="4:14" s="2" customFormat="1" x14ac:dyDescent="0.25"/>
    <row r="5" spans="4:14" s="2" customFormat="1" x14ac:dyDescent="0.25"/>
    <row r="6" spans="4:14" ht="15.75" thickBot="1" x14ac:dyDescent="0.25"/>
    <row r="7" spans="4:14" ht="15.75" thickBot="1" x14ac:dyDescent="0.25">
      <c r="D7" s="38"/>
      <c r="E7" s="38"/>
      <c r="F7" s="38"/>
      <c r="L7" s="108" t="s">
        <v>128</v>
      </c>
      <c r="N7" s="109" t="s">
        <v>201</v>
      </c>
    </row>
    <row r="8" spans="4:14" ht="15.75" thickBot="1" x14ac:dyDescent="0.25">
      <c r="L8" s="107" t="s">
        <v>15</v>
      </c>
      <c r="N8" s="110">
        <f>Calculos!C25</f>
        <v>2.6666666666666665</v>
      </c>
    </row>
    <row r="14" spans="4:14" ht="15.75" x14ac:dyDescent="0.25">
      <c r="I14" s="65" t="s">
        <v>134</v>
      </c>
      <c r="J14" t="s">
        <v>69</v>
      </c>
      <c r="K14" t="s">
        <v>70</v>
      </c>
    </row>
    <row r="15" spans="4:14" ht="15.75" x14ac:dyDescent="0.25">
      <c r="I15" s="66" t="s">
        <v>15</v>
      </c>
      <c r="J15" s="84">
        <v>540</v>
      </c>
      <c r="K15" s="84">
        <v>577.5</v>
      </c>
    </row>
    <row r="16" spans="4:14" ht="15.75" x14ac:dyDescent="0.25">
      <c r="I16" s="66" t="s">
        <v>16</v>
      </c>
      <c r="J16" s="84">
        <v>1073.5</v>
      </c>
      <c r="K16" s="84">
        <v>1136.5</v>
      </c>
    </row>
    <row r="17" spans="9:11" ht="15.75" x14ac:dyDescent="0.25">
      <c r="I17" s="66" t="s">
        <v>17</v>
      </c>
      <c r="J17" s="84">
        <v>482</v>
      </c>
      <c r="K17" s="84">
        <v>508</v>
      </c>
    </row>
    <row r="18" spans="9:11" ht="15.75" x14ac:dyDescent="0.25">
      <c r="I18" s="66" t="s">
        <v>64</v>
      </c>
      <c r="J18" s="84">
        <v>2095.5</v>
      </c>
      <c r="K18" s="84">
        <v>2222</v>
      </c>
    </row>
    <row r="19" spans="9:11" ht="15.75" x14ac:dyDescent="0.25">
      <c r="I19"/>
      <c r="J19"/>
      <c r="K19"/>
    </row>
    <row r="20" spans="9:11" ht="15.75" x14ac:dyDescent="0.25">
      <c r="I20"/>
      <c r="J20"/>
      <c r="K20"/>
    </row>
    <row r="21" spans="9:11" ht="15.75" x14ac:dyDescent="0.25">
      <c r="I21"/>
      <c r="J21"/>
      <c r="K21"/>
    </row>
    <row r="22" spans="9:11" ht="15.75" x14ac:dyDescent="0.25">
      <c r="I22"/>
      <c r="J22"/>
      <c r="K22"/>
    </row>
    <row r="23" spans="9:11" ht="15.75" x14ac:dyDescent="0.25">
      <c r="I23"/>
      <c r="J23"/>
      <c r="K23"/>
    </row>
    <row r="24" spans="9:11" ht="15.75" x14ac:dyDescent="0.25">
      <c r="I24"/>
      <c r="J24"/>
      <c r="K24"/>
    </row>
    <row r="25" spans="9:11" ht="15.75" x14ac:dyDescent="0.25">
      <c r="I25"/>
      <c r="J25"/>
      <c r="K25"/>
    </row>
    <row r="26" spans="9:11" ht="15.75" x14ac:dyDescent="0.25">
      <c r="I26"/>
      <c r="J26"/>
      <c r="K26"/>
    </row>
    <row r="27" spans="9:11" ht="15.75" x14ac:dyDescent="0.25">
      <c r="I27"/>
      <c r="J27"/>
      <c r="K27"/>
    </row>
    <row r="28" spans="9:11" ht="15.75" x14ac:dyDescent="0.25">
      <c r="I28"/>
      <c r="J28"/>
      <c r="K28"/>
    </row>
    <row r="29" spans="9:11" ht="15.75" x14ac:dyDescent="0.25">
      <c r="I29"/>
      <c r="J29"/>
      <c r="K29"/>
    </row>
    <row r="30" spans="9:11" ht="15.75" x14ac:dyDescent="0.25">
      <c r="I30"/>
      <c r="J30"/>
      <c r="K30"/>
    </row>
    <row r="31" spans="9:11" ht="15.75" x14ac:dyDescent="0.25">
      <c r="I31"/>
      <c r="J31"/>
      <c r="K31"/>
    </row>
  </sheetData>
  <dataValidations count="1">
    <dataValidation type="list" allowBlank="1" showInputMessage="1" showErrorMessage="1" sqref="L8" xr:uid="{AE6B4F67-6D8E-497C-8BD0-0803A6DDA397}">
      <formula1>Atv</formula1>
    </dataValidation>
  </dataValidations>
  <pageMargins left="0.511811024" right="0.511811024" top="0.78740157499999996" bottom="0.78740157499999996" header="0.31496062000000002" footer="0.31496062000000002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ACC8D-39DC-4E08-8899-AFE6BE836540}">
  <sheetPr codeName="Planilha12"/>
  <dimension ref="B3:F25"/>
  <sheetViews>
    <sheetView topLeftCell="A9" workbookViewId="0">
      <selection activeCell="C26" sqref="C26"/>
    </sheetView>
  </sheetViews>
  <sheetFormatPr defaultRowHeight="15" x14ac:dyDescent="0.25"/>
  <cols>
    <col min="2" max="2" width="25.7109375" bestFit="1" customWidth="1"/>
    <col min="3" max="3" width="25.7109375" customWidth="1"/>
    <col min="4" max="5" width="14.42578125" bestFit="1" customWidth="1"/>
    <col min="6" max="6" width="9.7109375" bestFit="1" customWidth="1"/>
  </cols>
  <sheetData>
    <row r="3" spans="2:6" x14ac:dyDescent="0.25">
      <c r="B3" t="s">
        <v>68</v>
      </c>
      <c r="C3" t="s">
        <v>14</v>
      </c>
      <c r="D3" t="s">
        <v>50</v>
      </c>
      <c r="E3" t="s">
        <v>36</v>
      </c>
      <c r="F3" t="s">
        <v>38</v>
      </c>
    </row>
    <row r="4" spans="2:6" x14ac:dyDescent="0.25">
      <c r="B4" t="str">
        <f>'Ação x PETiano'!D9</f>
        <v>Izabele</v>
      </c>
      <c r="C4" t="str">
        <f>'Ação x PETiano'!B9</f>
        <v>Semana Zero</v>
      </c>
      <c r="D4">
        <f>COUNTIFS(Tabela5[Who - Por quem será feito?],B4,Tabela5[Atividade],C4,Tabela5[Status],"Realizada")</f>
        <v>0</v>
      </c>
      <c r="E4">
        <f>COUNTIFS(Tabela5[Who - Por quem será feito?],Calculos!B4,Tabela5[Atividade],C4,Tabela5[Status],"Em andamento")</f>
        <v>0</v>
      </c>
      <c r="F4">
        <f>COUNTIFS(Tabela5[Who - Por quem será feito?],Calculos!B4,Tabela5[Atividade],C4,Tabela5[Status],"Pendente")</f>
        <v>0</v>
      </c>
    </row>
    <row r="6" spans="2:6" x14ac:dyDescent="0.25">
      <c r="B6" t="s">
        <v>1</v>
      </c>
      <c r="C6" t="s">
        <v>14</v>
      </c>
      <c r="D6" t="s">
        <v>50</v>
      </c>
      <c r="E6" t="s">
        <v>36</v>
      </c>
      <c r="F6" t="s">
        <v>38</v>
      </c>
    </row>
    <row r="7" spans="2:6" x14ac:dyDescent="0.25">
      <c r="B7" t="str">
        <f>'Ação x PETiano'!F9</f>
        <v>Administrativa e Financeira</v>
      </c>
      <c r="C7" t="str">
        <f>'Ação x PETiano'!B9</f>
        <v>Semana Zero</v>
      </c>
      <c r="D7">
        <f>COUNTIFS(Tabela5[Comissão],Calculos!B7,Tabela5[Atividade],C7,Tabela5[Status],"Realizada")</f>
        <v>0</v>
      </c>
      <c r="E7">
        <f>COUNTIFS(Tabela5[Comissão],Calculos!B7,Tabela5[Atividade],C7,Tabela5[Status],"Em andamento")</f>
        <v>0</v>
      </c>
      <c r="F7">
        <f>COUNTIFS(Tabela5[Comissão],Calculos!B7,Tabela5[Atividade],C7,Tabela5[Status],"Pendente")</f>
        <v>0</v>
      </c>
    </row>
    <row r="9" spans="2:6" x14ac:dyDescent="0.25">
      <c r="B9" t="s">
        <v>14</v>
      </c>
      <c r="C9" t="s">
        <v>50</v>
      </c>
      <c r="D9" t="s">
        <v>36</v>
      </c>
      <c r="E9" t="s">
        <v>38</v>
      </c>
    </row>
    <row r="10" spans="2:6" x14ac:dyDescent="0.25">
      <c r="B10" t="str">
        <f>Acompanhamento!H12</f>
        <v>Semana Zero</v>
      </c>
      <c r="C10" s="67">
        <f>COUNTIFS(Tabela5[Atividade],B10,Tabela5[Status],"Realizada")</f>
        <v>0</v>
      </c>
      <c r="D10">
        <f>COUNTIFS(Tabela5[Atividade],B10,Tabela5[Status],"Em andamento")</f>
        <v>0</v>
      </c>
      <c r="E10">
        <f>COUNTIFS(Tabela5[Atividade],B10,Tabela5[Status],"Pendente")</f>
        <v>5</v>
      </c>
    </row>
    <row r="12" spans="2:6" x14ac:dyDescent="0.25">
      <c r="B12" s="148" t="s">
        <v>133</v>
      </c>
      <c r="C12" s="148"/>
      <c r="D12" s="148"/>
      <c r="E12" s="148"/>
    </row>
    <row r="13" spans="2:6" x14ac:dyDescent="0.25">
      <c r="B13" t="s">
        <v>33</v>
      </c>
      <c r="C13" t="s">
        <v>35</v>
      </c>
      <c r="D13" t="s">
        <v>34</v>
      </c>
    </row>
    <row r="14" spans="2:6" x14ac:dyDescent="0.25">
      <c r="B14">
        <f>COUNTIF(Tabela5[Prioridade],"Alta")</f>
        <v>11</v>
      </c>
      <c r="C14">
        <f>COUNTIF(Tabela5[Prioridade],"Média")</f>
        <v>6</v>
      </c>
      <c r="D14">
        <f>COUNTIF(Tabela5[Prioridade],"Baixa")</f>
        <v>5</v>
      </c>
    </row>
    <row r="16" spans="2:6" x14ac:dyDescent="0.25">
      <c r="B16" t="s">
        <v>174</v>
      </c>
    </row>
    <row r="17" spans="2:6" x14ac:dyDescent="0.25">
      <c r="B17" t="s">
        <v>175</v>
      </c>
      <c r="C17" t="s">
        <v>176</v>
      </c>
      <c r="D17" t="s">
        <v>178</v>
      </c>
      <c r="E17" t="s">
        <v>179</v>
      </c>
      <c r="F17" t="s">
        <v>180</v>
      </c>
    </row>
    <row r="18" spans="2:6" x14ac:dyDescent="0.25">
      <c r="B18">
        <f>COUNTA(Tabela10[Meta])</f>
        <v>2</v>
      </c>
      <c r="C18">
        <f>COUNTIF(Tabela10[éSMART],"Sim")</f>
        <v>1</v>
      </c>
      <c r="D18">
        <f>COUNTIF(Tabela8[Status],"Meta superada")</f>
        <v>2</v>
      </c>
      <c r="E18">
        <f>COUNTIF(Tabela8[Status],"Abaixo da Meta")</f>
        <v>2</v>
      </c>
      <c r="F18">
        <f>COUNTIF(Tabela8[Status],"Meta atingida")</f>
        <v>1</v>
      </c>
    </row>
    <row r="20" spans="2:6" x14ac:dyDescent="0.25">
      <c r="B20" t="s">
        <v>182</v>
      </c>
    </row>
    <row r="21" spans="2:6" x14ac:dyDescent="0.25">
      <c r="B21" t="s">
        <v>183</v>
      </c>
      <c r="C21" t="s">
        <v>184</v>
      </c>
    </row>
    <row r="22" spans="2:6" x14ac:dyDescent="0.25">
      <c r="B22">
        <f>SUM('Ação Plan x Realiz'!C9:N9)</f>
        <v>22</v>
      </c>
      <c r="C22">
        <f>SUM('Ação Plan x Realiz'!C10:N10)</f>
        <v>11</v>
      </c>
    </row>
    <row r="24" spans="2:6" x14ac:dyDescent="0.25">
      <c r="B24" t="s">
        <v>200</v>
      </c>
    </row>
    <row r="25" spans="2:6" x14ac:dyDescent="0.25">
      <c r="B25" t="str">
        <f>Dashboard!L8</f>
        <v>PET Educa</v>
      </c>
      <c r="C25">
        <f>VLOOKUP(B25,Tabela7[[#All],[Atividade]:[Média da Avaliação]],8)</f>
        <v>2.6666666666666665</v>
      </c>
    </row>
  </sheetData>
  <mergeCells count="1">
    <mergeCell ref="B12:E12"/>
  </mergeCell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2F984-7592-4606-81B9-37B98D5015E3}">
  <sheetPr codeName="Planilha13"/>
  <dimension ref="A1:A25"/>
  <sheetViews>
    <sheetView showGridLines="0" showRowColHeaders="0" workbookViewId="0"/>
  </sheetViews>
  <sheetFormatPr defaultRowHeight="15" zeroHeight="1" x14ac:dyDescent="0.25"/>
  <cols>
    <col min="1" max="1" width="3.42578125" customWidth="1"/>
  </cols>
  <sheetData>
    <row r="1" s="1" customFormat="1" x14ac:dyDescent="0.25"/>
    <row r="2" s="1" customFormat="1" x14ac:dyDescent="0.25"/>
    <row r="3" s="1" customFormat="1" x14ac:dyDescent="0.25"/>
    <row r="4" s="2" customFormat="1" x14ac:dyDescent="0.25"/>
    <row r="5" s="2" customFormat="1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D68D1-3FA3-46F6-9050-2203CF595EC2}">
  <sheetPr codeName="Planilha22"/>
  <dimension ref="A1:X41"/>
  <sheetViews>
    <sheetView showGridLines="0" showRowColHeaders="0" workbookViewId="0">
      <pane ySplit="11" topLeftCell="A12" activePane="bottomLeft" state="frozen"/>
      <selection pane="bottomLeft"/>
    </sheetView>
  </sheetViews>
  <sheetFormatPr defaultColWidth="0" defaultRowHeight="15" zeroHeight="1" x14ac:dyDescent="0.2"/>
  <cols>
    <col min="1" max="1" width="1.85546875" style="37" customWidth="1"/>
    <col min="2" max="2" width="8.85546875" style="61" customWidth="1"/>
    <col min="3" max="3" width="35.85546875" style="37" customWidth="1"/>
    <col min="4" max="4" width="19.28515625" style="61" customWidth="1"/>
    <col min="5" max="5" width="33.7109375" style="61" customWidth="1"/>
    <col min="6" max="6" width="18.7109375" style="61" bestFit="1" customWidth="1"/>
    <col min="7" max="7" width="30.28515625" style="61" customWidth="1"/>
    <col min="8" max="8" width="28.85546875" style="61" customWidth="1"/>
    <col min="9" max="9" width="24.140625" style="61" customWidth="1"/>
    <col min="10" max="10" width="25.7109375" style="61" customWidth="1"/>
    <col min="11" max="11" width="9.140625" style="37" customWidth="1"/>
    <col min="12" max="24" width="0" style="37" hidden="1" customWidth="1"/>
    <col min="25" max="16384" width="9.140625" style="37" hidden="1"/>
  </cols>
  <sheetData>
    <row r="1" spans="2:10" s="83" customFormat="1" x14ac:dyDescent="0.2">
      <c r="B1" s="79"/>
      <c r="D1" s="79"/>
      <c r="E1" s="79"/>
      <c r="F1" s="79"/>
      <c r="G1" s="79"/>
      <c r="H1" s="79"/>
      <c r="I1" s="79"/>
      <c r="J1" s="79"/>
    </row>
    <row r="2" spans="2:10" s="83" customFormat="1" x14ac:dyDescent="0.2">
      <c r="B2" s="79"/>
      <c r="D2" s="79"/>
      <c r="E2" s="79"/>
      <c r="F2" s="79"/>
      <c r="G2" s="79"/>
      <c r="H2" s="79"/>
      <c r="I2" s="79"/>
      <c r="J2" s="79"/>
    </row>
    <row r="3" spans="2:10" s="83" customFormat="1" x14ac:dyDescent="0.2">
      <c r="B3" s="79"/>
      <c r="D3" s="79"/>
      <c r="E3" s="79"/>
      <c r="F3" s="79"/>
      <c r="G3" s="79"/>
      <c r="H3" s="79"/>
      <c r="I3" s="79"/>
      <c r="J3" s="79"/>
    </row>
    <row r="4" spans="2:10" s="63" customFormat="1" x14ac:dyDescent="0.2">
      <c r="B4" s="68"/>
      <c r="D4" s="68"/>
      <c r="E4" s="68"/>
      <c r="F4" s="68"/>
      <c r="G4" s="68"/>
      <c r="H4" s="68"/>
      <c r="I4" s="68"/>
      <c r="J4" s="68"/>
    </row>
    <row r="5" spans="2:10" s="63" customFormat="1" x14ac:dyDescent="0.2">
      <c r="B5" s="68"/>
      <c r="D5" s="68"/>
      <c r="E5" s="68"/>
      <c r="F5" s="68"/>
      <c r="G5" s="68"/>
      <c r="H5" s="68"/>
      <c r="I5" s="68"/>
      <c r="J5" s="68"/>
    </row>
    <row r="6" spans="2:10" x14ac:dyDescent="0.2"/>
    <row r="7" spans="2:10" x14ac:dyDescent="0.2"/>
    <row r="8" spans="2:10" x14ac:dyDescent="0.2"/>
    <row r="9" spans="2:10" x14ac:dyDescent="0.2"/>
    <row r="10" spans="2:10" x14ac:dyDescent="0.2"/>
    <row r="11" spans="2:10" x14ac:dyDescent="0.2">
      <c r="B11" s="60" t="s">
        <v>109</v>
      </c>
      <c r="C11" s="60" t="s">
        <v>14</v>
      </c>
      <c r="D11" s="60" t="s">
        <v>102</v>
      </c>
      <c r="E11" s="60" t="s">
        <v>103</v>
      </c>
      <c r="F11" s="60" t="s">
        <v>104</v>
      </c>
      <c r="G11" s="60" t="s">
        <v>107</v>
      </c>
      <c r="H11" s="60" t="s">
        <v>105</v>
      </c>
      <c r="I11" s="60" t="s">
        <v>106</v>
      </c>
      <c r="J11" s="60" t="s">
        <v>108</v>
      </c>
    </row>
    <row r="12" spans="2:10" x14ac:dyDescent="0.2">
      <c r="B12" s="61">
        <v>1</v>
      </c>
      <c r="C12" s="37" t="s">
        <v>15</v>
      </c>
      <c r="D12" s="62">
        <v>1</v>
      </c>
      <c r="E12" s="62">
        <v>2</v>
      </c>
      <c r="F12" s="62">
        <v>3</v>
      </c>
      <c r="G12" s="62">
        <v>4</v>
      </c>
      <c r="H12" s="62">
        <v>5</v>
      </c>
      <c r="I12" s="62">
        <v>1</v>
      </c>
      <c r="J12" s="62">
        <f t="shared" ref="J12:J13" si="0">AVERAGE(D12:I12)</f>
        <v>2.6666666666666665</v>
      </c>
    </row>
    <row r="13" spans="2:10" x14ac:dyDescent="0.2">
      <c r="B13" s="61">
        <v>2</v>
      </c>
      <c r="C13" s="37" t="s">
        <v>16</v>
      </c>
      <c r="D13" s="62">
        <v>4</v>
      </c>
      <c r="E13" s="62">
        <v>5</v>
      </c>
      <c r="F13" s="62">
        <v>5</v>
      </c>
      <c r="G13" s="62">
        <v>5</v>
      </c>
      <c r="H13" s="62">
        <v>5</v>
      </c>
      <c r="I13" s="62">
        <v>0</v>
      </c>
      <c r="J13" s="62">
        <f t="shared" si="0"/>
        <v>4</v>
      </c>
    </row>
    <row r="14" spans="2:10" x14ac:dyDescent="0.2">
      <c r="B14" s="61">
        <v>3</v>
      </c>
      <c r="C14" s="37" t="s">
        <v>17</v>
      </c>
      <c r="D14" s="62">
        <v>1</v>
      </c>
      <c r="E14" s="62">
        <v>1</v>
      </c>
      <c r="F14" s="62">
        <v>0.5</v>
      </c>
      <c r="G14" s="62">
        <v>1</v>
      </c>
      <c r="H14" s="62">
        <v>1</v>
      </c>
      <c r="I14" s="62">
        <v>1</v>
      </c>
      <c r="J14" s="62">
        <f>AVERAGE(D14:I14)</f>
        <v>0.91666666666666663</v>
      </c>
    </row>
    <row r="15" spans="2:10" x14ac:dyDescent="0.2">
      <c r="B15" s="61">
        <v>4</v>
      </c>
      <c r="C15" s="37" t="s">
        <v>202</v>
      </c>
      <c r="D15" s="62">
        <v>2</v>
      </c>
      <c r="E15" s="62">
        <v>3</v>
      </c>
      <c r="F15" s="62">
        <v>5</v>
      </c>
      <c r="G15" s="62">
        <v>4</v>
      </c>
      <c r="H15" s="62">
        <v>2</v>
      </c>
      <c r="I15" s="62">
        <v>5</v>
      </c>
      <c r="J15" s="62">
        <f>AVERAGE(D15:I15)</f>
        <v>3.5</v>
      </c>
    </row>
    <row r="16" spans="2:10" x14ac:dyDescent="0.2">
      <c r="B16" s="61">
        <v>5</v>
      </c>
      <c r="C16" s="37" t="s">
        <v>203</v>
      </c>
      <c r="D16" s="62">
        <v>5</v>
      </c>
      <c r="E16" s="62">
        <v>5</v>
      </c>
      <c r="F16" s="62">
        <v>4</v>
      </c>
      <c r="G16" s="62">
        <v>3</v>
      </c>
      <c r="H16" s="62">
        <v>5</v>
      </c>
      <c r="I16" s="62">
        <v>5</v>
      </c>
      <c r="J16" s="62">
        <f>AVERAGE(D16:I16)</f>
        <v>4.5</v>
      </c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</sheetData>
  <conditionalFormatting sqref="J12:J16">
    <cfRule type="iconSet" priority="1">
      <iconSet iconSet="3Symbols">
        <cfvo type="percent" val="0"/>
        <cfvo type="num" val="1"/>
        <cfvo type="num" val="4"/>
      </iconSet>
    </cfRule>
  </conditionalFormatting>
  <dataValidations count="1">
    <dataValidation type="list" allowBlank="1" showInputMessage="1" showErrorMessage="1" sqref="C12:C16" xr:uid="{3F58C4F1-2412-43EA-B7E5-7B5E633F6E6D}">
      <formula1>Atv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B8390-038B-4E7D-ACE1-7F334F88CC49}">
  <sheetPr codeName="Planilha23"/>
  <dimension ref="A1:O25"/>
  <sheetViews>
    <sheetView showGridLines="0" showRowColHeaders="0" workbookViewId="0"/>
  </sheetViews>
  <sheetFormatPr defaultColWidth="0" defaultRowHeight="15" zeroHeight="1" x14ac:dyDescent="0.2"/>
  <cols>
    <col min="1" max="1" width="2.5703125" style="37" customWidth="1"/>
    <col min="2" max="9" width="9.140625" style="37" customWidth="1"/>
    <col min="10" max="10" width="14.7109375" style="37" customWidth="1"/>
    <col min="11" max="11" width="4.5703125" style="37" customWidth="1"/>
    <col min="12" max="15" width="9.140625" style="37" customWidth="1"/>
    <col min="16" max="16384" width="9.140625" style="37" hidden="1"/>
  </cols>
  <sheetData>
    <row r="1" spans="2:10" x14ac:dyDescent="0.2"/>
    <row r="2" spans="2:10" x14ac:dyDescent="0.2"/>
    <row r="3" spans="2:10" ht="15.75" thickBot="1" x14ac:dyDescent="0.25"/>
    <row r="4" spans="2:10" x14ac:dyDescent="0.2">
      <c r="B4" s="69" t="s">
        <v>110</v>
      </c>
      <c r="C4" s="70"/>
      <c r="D4" s="70"/>
      <c r="E4" s="70"/>
      <c r="F4" s="70"/>
      <c r="G4" s="70"/>
      <c r="H4" s="70"/>
      <c r="I4" s="70"/>
      <c r="J4" s="71"/>
    </row>
    <row r="5" spans="2:10" x14ac:dyDescent="0.2">
      <c r="B5" s="72" t="s">
        <v>125</v>
      </c>
      <c r="C5" s="73"/>
      <c r="D5" s="73"/>
      <c r="E5" s="73"/>
      <c r="F5" s="73"/>
      <c r="G5" s="73"/>
      <c r="H5" s="73"/>
      <c r="I5" s="73"/>
      <c r="J5" s="74"/>
    </row>
    <row r="6" spans="2:10" x14ac:dyDescent="0.2">
      <c r="B6" s="72" t="s">
        <v>111</v>
      </c>
      <c r="C6" s="73"/>
      <c r="D6" s="73"/>
      <c r="E6" s="73"/>
      <c r="F6" s="73"/>
      <c r="G6" s="73"/>
      <c r="H6" s="73"/>
      <c r="I6" s="73"/>
      <c r="J6" s="74"/>
    </row>
    <row r="7" spans="2:10" x14ac:dyDescent="0.2">
      <c r="B7" s="72" t="s">
        <v>112</v>
      </c>
      <c r="C7" s="73"/>
      <c r="D7" s="73"/>
      <c r="E7" s="73"/>
      <c r="F7" s="73"/>
      <c r="G7" s="73"/>
      <c r="H7" s="73"/>
      <c r="I7" s="73"/>
      <c r="J7" s="74"/>
    </row>
    <row r="8" spans="2:10" x14ac:dyDescent="0.2">
      <c r="B8" s="72" t="s">
        <v>113</v>
      </c>
      <c r="C8" s="73"/>
      <c r="D8" s="73"/>
      <c r="E8" s="73"/>
      <c r="F8" s="73"/>
      <c r="G8" s="73"/>
      <c r="H8" s="73"/>
      <c r="I8" s="73"/>
      <c r="J8" s="74"/>
    </row>
    <row r="9" spans="2:10" x14ac:dyDescent="0.2">
      <c r="B9" s="72" t="s">
        <v>114</v>
      </c>
      <c r="C9" s="73"/>
      <c r="D9" s="73"/>
      <c r="E9" s="73"/>
      <c r="F9" s="73"/>
      <c r="G9" s="73"/>
      <c r="H9" s="73"/>
      <c r="I9" s="73"/>
      <c r="J9" s="74"/>
    </row>
    <row r="10" spans="2:10" x14ac:dyDescent="0.2">
      <c r="B10" s="72" t="s">
        <v>115</v>
      </c>
      <c r="C10" s="73"/>
      <c r="D10" s="73"/>
      <c r="E10" s="73"/>
      <c r="F10" s="73"/>
      <c r="G10" s="73"/>
      <c r="H10" s="73"/>
      <c r="I10" s="73"/>
      <c r="J10" s="74"/>
    </row>
    <row r="11" spans="2:10" x14ac:dyDescent="0.2">
      <c r="B11" s="72"/>
      <c r="C11" s="73"/>
      <c r="D11" s="73"/>
      <c r="E11" s="73"/>
      <c r="F11" s="73"/>
      <c r="G11" s="73"/>
      <c r="H11" s="73"/>
      <c r="I11" s="73"/>
      <c r="J11" s="74"/>
    </row>
    <row r="12" spans="2:10" x14ac:dyDescent="0.2">
      <c r="B12" s="72" t="s">
        <v>116</v>
      </c>
      <c r="C12" s="73"/>
      <c r="D12" s="73"/>
      <c r="E12" s="73"/>
      <c r="F12" s="73"/>
      <c r="G12" s="73"/>
      <c r="H12" s="73"/>
      <c r="I12" s="73"/>
      <c r="J12" s="74"/>
    </row>
    <row r="13" spans="2:10" x14ac:dyDescent="0.2">
      <c r="B13" s="72" t="s">
        <v>117</v>
      </c>
      <c r="C13" s="73"/>
      <c r="D13" s="73"/>
      <c r="E13" s="73"/>
      <c r="F13" s="73"/>
      <c r="G13" s="73"/>
      <c r="H13" s="73"/>
      <c r="I13" s="73"/>
      <c r="J13" s="74"/>
    </row>
    <row r="14" spans="2:10" x14ac:dyDescent="0.2">
      <c r="B14" s="72" t="s">
        <v>118</v>
      </c>
      <c r="C14" s="73"/>
      <c r="D14" s="73"/>
      <c r="E14" s="73"/>
      <c r="F14" s="73"/>
      <c r="G14" s="73"/>
      <c r="H14" s="73"/>
      <c r="I14" s="73"/>
      <c r="J14" s="74"/>
    </row>
    <row r="15" spans="2:10" x14ac:dyDescent="0.2">
      <c r="B15" s="72" t="s">
        <v>126</v>
      </c>
      <c r="C15" s="73"/>
      <c r="D15" s="73"/>
      <c r="E15" s="73"/>
      <c r="F15" s="73"/>
      <c r="G15" s="73"/>
      <c r="H15" s="73"/>
      <c r="I15" s="73"/>
      <c r="J15" s="74"/>
    </row>
    <row r="16" spans="2:10" x14ac:dyDescent="0.2">
      <c r="B16" s="72" t="s">
        <v>127</v>
      </c>
      <c r="C16" s="73"/>
      <c r="D16" s="73"/>
      <c r="E16" s="73"/>
      <c r="F16" s="73"/>
      <c r="G16" s="73"/>
      <c r="H16" s="73"/>
      <c r="I16" s="73"/>
      <c r="J16" s="74"/>
    </row>
    <row r="17" spans="2:10" x14ac:dyDescent="0.2">
      <c r="B17" s="72"/>
      <c r="C17" s="73"/>
      <c r="D17" s="73"/>
      <c r="E17" s="73"/>
      <c r="F17" s="73"/>
      <c r="G17" s="73"/>
      <c r="H17" s="73"/>
      <c r="I17" s="73"/>
      <c r="J17" s="74"/>
    </row>
    <row r="18" spans="2:10" x14ac:dyDescent="0.2">
      <c r="B18" s="72" t="s">
        <v>119</v>
      </c>
      <c r="C18" s="73"/>
      <c r="D18" s="73"/>
      <c r="E18" s="73"/>
      <c r="F18" s="73"/>
      <c r="G18" s="73"/>
      <c r="H18" s="73"/>
      <c r="I18" s="73"/>
      <c r="J18" s="74"/>
    </row>
    <row r="19" spans="2:10" x14ac:dyDescent="0.2">
      <c r="B19" s="72" t="s">
        <v>120</v>
      </c>
      <c r="C19" s="73"/>
      <c r="D19" s="73"/>
      <c r="E19" s="73"/>
      <c r="F19" s="73"/>
      <c r="G19" s="73"/>
      <c r="H19" s="73"/>
      <c r="I19" s="73"/>
      <c r="J19" s="74"/>
    </row>
    <row r="20" spans="2:10" x14ac:dyDescent="0.2">
      <c r="B20" s="72" t="s">
        <v>121</v>
      </c>
      <c r="C20" s="73"/>
      <c r="D20" s="73"/>
      <c r="E20" s="73"/>
      <c r="F20" s="73"/>
      <c r="G20" s="73"/>
      <c r="H20" s="73"/>
      <c r="I20" s="73"/>
      <c r="J20" s="74"/>
    </row>
    <row r="21" spans="2:10" x14ac:dyDescent="0.2">
      <c r="B21" s="72"/>
      <c r="C21" s="73"/>
      <c r="D21" s="73"/>
      <c r="E21" s="73"/>
      <c r="F21" s="73"/>
      <c r="G21" s="73"/>
      <c r="H21" s="73"/>
      <c r="I21" s="73"/>
      <c r="J21" s="74"/>
    </row>
    <row r="22" spans="2:10" x14ac:dyDescent="0.2">
      <c r="B22" s="72" t="s">
        <v>122</v>
      </c>
      <c r="C22" s="73"/>
      <c r="D22" s="73"/>
      <c r="E22" s="73"/>
      <c r="F22" s="73"/>
      <c r="G22" s="73"/>
      <c r="H22" s="73"/>
      <c r="I22" s="73"/>
      <c r="J22" s="74"/>
    </row>
    <row r="23" spans="2:10" x14ac:dyDescent="0.2">
      <c r="B23" s="72" t="s">
        <v>123</v>
      </c>
      <c r="C23" s="73"/>
      <c r="D23" s="73"/>
      <c r="E23" s="73"/>
      <c r="F23" s="73"/>
      <c r="G23" s="73"/>
      <c r="H23" s="73"/>
      <c r="I23" s="73"/>
      <c r="J23" s="74"/>
    </row>
    <row r="24" spans="2:10" ht="15.75" thickBot="1" x14ac:dyDescent="0.25">
      <c r="B24" s="75" t="s">
        <v>124</v>
      </c>
      <c r="C24" s="76"/>
      <c r="D24" s="76"/>
      <c r="E24" s="76"/>
      <c r="F24" s="76"/>
      <c r="G24" s="76"/>
      <c r="H24" s="76"/>
      <c r="I24" s="76"/>
      <c r="J24" s="77"/>
    </row>
    <row r="25" spans="2:10" x14ac:dyDescent="0.2"/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13AFF-20ED-43C6-A64D-512993A105DE}">
  <sheetPr codeName="Planilha24"/>
  <dimension ref="A1:P20"/>
  <sheetViews>
    <sheetView showGridLines="0" showRowColHeaders="0" workbookViewId="0">
      <selection activeCell="C11" sqref="C11"/>
    </sheetView>
  </sheetViews>
  <sheetFormatPr defaultColWidth="0" defaultRowHeight="15" zeroHeight="1" x14ac:dyDescent="0.2"/>
  <cols>
    <col min="1" max="1" width="9.140625" style="37" customWidth="1"/>
    <col min="2" max="2" width="32.5703125" style="37" customWidth="1"/>
    <col min="3" max="3" width="12.7109375" style="61" customWidth="1"/>
    <col min="4" max="14" width="9.140625" style="37" customWidth="1"/>
    <col min="15" max="15" width="33.28515625" style="37" customWidth="1"/>
    <col min="16" max="16" width="9.140625" style="37" customWidth="1"/>
    <col min="17" max="16384" width="9.140625" style="37" hidden="1"/>
  </cols>
  <sheetData>
    <row r="1" spans="2:3" s="83" customFormat="1" x14ac:dyDescent="0.2">
      <c r="C1" s="79"/>
    </row>
    <row r="2" spans="2:3" s="83" customFormat="1" x14ac:dyDescent="0.2">
      <c r="C2" s="79"/>
    </row>
    <row r="3" spans="2:3" s="83" customFormat="1" x14ac:dyDescent="0.2">
      <c r="C3" s="79"/>
    </row>
    <row r="4" spans="2:3" s="63" customFormat="1" x14ac:dyDescent="0.2">
      <c r="C4" s="68"/>
    </row>
    <row r="5" spans="2:3" s="63" customFormat="1" x14ac:dyDescent="0.2">
      <c r="C5" s="68"/>
    </row>
    <row r="6" spans="2:3" x14ac:dyDescent="0.2"/>
    <row r="7" spans="2:3" x14ac:dyDescent="0.2"/>
    <row r="8" spans="2:3" x14ac:dyDescent="0.2"/>
    <row r="9" spans="2:3" x14ac:dyDescent="0.2">
      <c r="B9" s="80" t="s">
        <v>129</v>
      </c>
      <c r="C9" s="81">
        <v>5</v>
      </c>
    </row>
    <row r="10" spans="2:3" x14ac:dyDescent="0.2">
      <c r="B10" s="80" t="s">
        <v>130</v>
      </c>
      <c r="C10" s="81">
        <v>5</v>
      </c>
    </row>
    <row r="11" spans="2:3" x14ac:dyDescent="0.2">
      <c r="B11" s="80" t="s">
        <v>132</v>
      </c>
      <c r="C11" s="81">
        <v>16</v>
      </c>
    </row>
    <row r="12" spans="2:3" x14ac:dyDescent="0.2">
      <c r="B12" s="80" t="s">
        <v>131</v>
      </c>
      <c r="C12" s="82">
        <f>((C9+C10)/2)/C11</f>
        <v>0.3125</v>
      </c>
    </row>
    <row r="13" spans="2:3" x14ac:dyDescent="0.2"/>
    <row r="14" spans="2:3" x14ac:dyDescent="0.2"/>
    <row r="15" spans="2:3" x14ac:dyDescent="0.2"/>
    <row r="16" spans="2:3" x14ac:dyDescent="0.2"/>
    <row r="17" x14ac:dyDescent="0.2"/>
    <row r="18" x14ac:dyDescent="0.2"/>
    <row r="19" x14ac:dyDescent="0.2"/>
    <row r="20" x14ac:dyDescent="0.2"/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24</vt:i4>
      </vt:variant>
    </vt:vector>
  </HeadingPairs>
  <TitlesOfParts>
    <vt:vector size="24" baseType="lpstr">
      <vt:lpstr>Início</vt:lpstr>
      <vt:lpstr>Cadastro</vt:lpstr>
      <vt:lpstr>Membros</vt:lpstr>
      <vt:lpstr>Comissões</vt:lpstr>
      <vt:lpstr>Atividade</vt:lpstr>
      <vt:lpstr>Id. Organizacional</vt:lpstr>
      <vt:lpstr>Análise de SWOT</vt:lpstr>
      <vt:lpstr>Descrição</vt:lpstr>
      <vt:lpstr>calc</vt:lpstr>
      <vt:lpstr>Obj e Metas</vt:lpstr>
      <vt:lpstr>Objetivos</vt:lpstr>
      <vt:lpstr>Metas</vt:lpstr>
      <vt:lpstr>Controle</vt:lpstr>
      <vt:lpstr>5W2H</vt:lpstr>
      <vt:lpstr>Relatório</vt:lpstr>
      <vt:lpstr>Acompanhamento</vt:lpstr>
      <vt:lpstr>Ação Plan x Realiz</vt:lpstr>
      <vt:lpstr>Ação x PETiano</vt:lpstr>
      <vt:lpstr>Dashboard</vt:lpstr>
      <vt:lpstr>Calculos</vt:lpstr>
      <vt:lpstr>Indicadores</vt:lpstr>
      <vt:lpstr>IAA</vt:lpstr>
      <vt:lpstr>IAA Infos</vt:lpstr>
      <vt:lpstr>Turnover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beame</dc:creator>
  <cp:lastModifiedBy>beamendon</cp:lastModifiedBy>
  <dcterms:created xsi:type="dcterms:W3CDTF">2020-06-20T12:42:43Z</dcterms:created>
  <dcterms:modified xsi:type="dcterms:W3CDTF">2020-11-06T12:40:52Z</dcterms:modified>
</cp:coreProperties>
</file>